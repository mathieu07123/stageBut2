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continental-my.sharepoint.com/personal/uic39883_contiwan_com/Documents/IE/20 - Projets/Système de commande des découpes/"/>
    </mc:Choice>
  </mc:AlternateContent>
  <xr:revisionPtr revIDLastSave="803" documentId="8_{39C3183F-1090-4657-BB49-00DA53752D61}" xr6:coauthVersionLast="47" xr6:coauthVersionMax="47" xr10:uidLastSave="{DB01A072-A587-40E6-80DB-27458DBB508F}"/>
  <bookViews>
    <workbookView xWindow="-13635" yWindow="-16320" windowWidth="29040" windowHeight="15720" xr2:uid="{40C9A48F-7E78-4CFC-884E-DB2675750826}"/>
  </bookViews>
  <sheets>
    <sheet name="Page de présentation des FAB" sheetId="1" r:id="rId1"/>
    <sheet name="Page d'entrée des données" sheetId="2" r:id="rId2"/>
    <sheet name="Page de paramétrage " sheetId="3" r:id="rId3"/>
    <sheet name="Page d'explication du fct " sheetId="4" r:id="rId4"/>
    <sheet name="Base de données ordre de fabr" sheetId="5" r:id="rId5"/>
    <sheet name="Base de données " sheetId="6" r:id="rId6"/>
  </sheets>
  <externalReferences>
    <externalReference r:id="rId7"/>
  </externalReferences>
  <definedNames>
    <definedName name="_1" localSheetId="0">'Page de présentation des FAB'!$G$2:$K$2</definedName>
    <definedName name="_2" localSheetId="0">'Page de présentation des FAB'!$G$3:$K$3</definedName>
    <definedName name="_3" localSheetId="0">'Page de présentation des FAB'!$G$4:$K$4</definedName>
    <definedName name="_4" localSheetId="0">'Page de présentation des FAB'!$G$5:$K$5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K5" i="1"/>
  <c r="D5" i="1"/>
  <c r="K4" i="1"/>
  <c r="K3" i="1"/>
  <c r="K7" i="1"/>
  <c r="J7" i="1"/>
  <c r="I7" i="1"/>
  <c r="H7" i="1"/>
  <c r="G7" i="1"/>
  <c r="D7" i="1"/>
  <c r="F6" i="1"/>
  <c r="J6" i="1" s="1"/>
  <c r="E6" i="1"/>
  <c r="D6" i="1"/>
  <c r="G5" i="1" l="1"/>
  <c r="H5" i="1"/>
  <c r="I5" i="1"/>
  <c r="J5" i="1"/>
  <c r="H4" i="1"/>
  <c r="J4" i="1"/>
  <c r="G4" i="1"/>
  <c r="I4" i="1"/>
  <c r="G3" i="1"/>
  <c r="H3" i="1"/>
  <c r="I3" i="1"/>
  <c r="J3" i="1"/>
  <c r="G6" i="1"/>
  <c r="K6" i="1"/>
  <c r="H6" i="1"/>
  <c r="I6" i="1"/>
  <c r="D8" i="1"/>
  <c r="D12" i="1"/>
  <c r="D20" i="1"/>
  <c r="D14" i="1"/>
  <c r="D15" i="1"/>
  <c r="D16" i="1"/>
  <c r="D17" i="1"/>
  <c r="D18" i="1"/>
  <c r="D19" i="1"/>
  <c r="E8" i="1"/>
  <c r="F8" i="1"/>
  <c r="H8" i="1" s="1"/>
  <c r="E12" i="1"/>
  <c r="F12" i="1"/>
  <c r="H12" i="1" s="1"/>
  <c r="E14" i="1"/>
  <c r="F14" i="1"/>
  <c r="H14" i="1" s="1"/>
  <c r="E15" i="1"/>
  <c r="F15" i="1"/>
  <c r="H15" i="1" s="1"/>
  <c r="E16" i="1"/>
  <c r="F16" i="1"/>
  <c r="H16" i="1" s="1"/>
  <c r="E17" i="1"/>
  <c r="F17" i="1"/>
  <c r="H17" i="1" s="1"/>
  <c r="E18" i="1"/>
  <c r="F18" i="1"/>
  <c r="G18" i="1" s="1"/>
  <c r="E19" i="1"/>
  <c r="F19" i="1"/>
  <c r="G19" i="1" s="1"/>
  <c r="K2" i="1"/>
  <c r="I2" i="1" l="1"/>
  <c r="J2" i="1"/>
  <c r="K14" i="1"/>
  <c r="J12" i="1"/>
  <c r="G12" i="1"/>
  <c r="J8" i="1"/>
  <c r="K8" i="1"/>
  <c r="G16" i="1"/>
  <c r="K15" i="1"/>
  <c r="J14" i="1"/>
  <c r="G14" i="1"/>
  <c r="J15" i="1"/>
  <c r="G8" i="1"/>
  <c r="G2" i="1"/>
  <c r="K17" i="1"/>
  <c r="G15" i="1"/>
  <c r="G17" i="1"/>
  <c r="H2" i="1"/>
  <c r="J17" i="1"/>
  <c r="K12" i="1"/>
  <c r="K16" i="1"/>
  <c r="J16" i="1"/>
  <c r="K19" i="1"/>
  <c r="K18" i="1"/>
  <c r="J19" i="1"/>
  <c r="I19" i="1"/>
  <c r="I18" i="1"/>
  <c r="I17" i="1"/>
  <c r="I16" i="1"/>
  <c r="I15" i="1"/>
  <c r="I14" i="1"/>
  <c r="I12" i="1"/>
  <c r="I8" i="1"/>
  <c r="J18" i="1"/>
  <c r="H19" i="1"/>
  <c r="H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5C14D7-9AA9-47C4-8FE8-3CEC6C0A125D}" name="12111" type="6" refreshedVersion="3" background="1" saveData="1">
    <textPr codePage="1250" sourceFile="C:\Documents and Settings\chefdepostei\Desktop\1.txt" delimited="0" decimal="," thousands=" ">
      <textFields count="6">
        <textField/>
        <textField position="1"/>
        <textField position="2"/>
        <textField position="3"/>
        <textField position="4"/>
        <textField position="5"/>
      </textFields>
    </textPr>
  </connection>
  <connection id="2" xr16:uid="{27B06C72-8F1D-4C6D-9A2B-E21DD3459D44}" name="121111" type="6" refreshedVersion="3" background="1" saveData="1">
    <textPr codePage="1250" sourceFile="C:\Documents and Settings\chefdepostei\Desktop\1.txt" delimited="0" decimal="," thousands=" ">
      <textFields count="6">
        <textField/>
        <textField position="1"/>
        <textField position="2"/>
        <textField position="3"/>
        <textField position="4"/>
        <textField position="5"/>
      </textFields>
    </textPr>
  </connection>
  <connection id="3" xr16:uid="{D6B6AC89-96C2-45A0-845B-A6160EA57B3E}" name="121112" type="6" refreshedVersion="3" background="1" saveData="1">
    <textPr codePage="1250" sourceFile="C:\Documents and Settings\chefdepostei\Desktop\1.txt" delimited="0" decimal="," thousands=" ">
      <textFields count="6">
        <textField/>
        <textField position="1"/>
        <textField position="2"/>
        <textField position="3"/>
        <textField position="4"/>
        <textField position="5"/>
      </textFields>
    </textPr>
  </connection>
  <connection id="4" xr16:uid="{AE8FA44B-6FEA-4477-A659-54674D662ED3}" name="121113" type="6" refreshedVersion="3" background="1" saveData="1">
    <textPr codePage="1250" sourceFile="C:\Documents and Settings\chefdepostei\Desktop\1.txt" delimited="0" decimal="," thousands=" ">
      <textFields count="6">
        <textField/>
        <textField position="1"/>
        <textField position="2"/>
        <textField position="3"/>
        <textField position="4"/>
        <textField position="5"/>
      </textFields>
    </textPr>
  </connection>
</connections>
</file>

<file path=xl/sharedStrings.xml><?xml version="1.0" encoding="utf-8"?>
<sst xmlns="http://schemas.openxmlformats.org/spreadsheetml/2006/main" count="126" uniqueCount="95">
  <si>
    <t xml:space="preserve">Date heure de la demande </t>
  </si>
  <si>
    <t xml:space="preserve">Nom du demandeur </t>
  </si>
  <si>
    <t xml:space="preserve">Numéro d'article </t>
  </si>
  <si>
    <t xml:space="preserve">Déscription du pneumatique </t>
  </si>
  <si>
    <t>Couleurs</t>
  </si>
  <si>
    <t xml:space="preserve">Type de découpe </t>
  </si>
  <si>
    <t xml:space="preserve">Priorisation </t>
  </si>
  <si>
    <t xml:space="preserve">Cloture de l'ordre de fabrication </t>
  </si>
  <si>
    <t xml:space="preserve">Réalisé </t>
  </si>
  <si>
    <t xml:space="preserve">Obj </t>
  </si>
  <si>
    <t xml:space="preserve">Heure </t>
  </si>
  <si>
    <t xml:space="preserve">MCAT Grading ; Défauts 05 pour les analyses PI </t>
  </si>
  <si>
    <t>automatique quand nouvel ordre</t>
  </si>
  <si>
    <t>liste à définir</t>
  </si>
  <si>
    <t>mcbr</t>
  </si>
  <si>
    <t xml:space="preserve">Quels sont les gains ? </t>
  </si>
  <si>
    <t xml:space="preserve">Historique / Fichier texte </t>
  </si>
  <si>
    <t xml:space="preserve">DT Fichier papier </t>
  </si>
  <si>
    <t xml:space="preserve">Pour la prochaine </t>
  </si>
  <si>
    <t xml:space="preserve">Essais grandeur nature ! </t>
  </si>
  <si>
    <t xml:space="preserve">A faire </t>
  </si>
  <si>
    <t>Numéro de rohling</t>
  </si>
  <si>
    <t>Albert Muda</t>
  </si>
  <si>
    <t>Jean Conner</t>
  </si>
  <si>
    <t>1 P / 2D</t>
  </si>
  <si>
    <t>2D</t>
  </si>
  <si>
    <t>Justin Tipeux</t>
  </si>
  <si>
    <t>A</t>
  </si>
  <si>
    <t>Date livraison</t>
  </si>
  <si>
    <t xml:space="preserve">1P </t>
  </si>
  <si>
    <t>RY</t>
  </si>
  <si>
    <t>WA</t>
  </si>
  <si>
    <t>AAA</t>
  </si>
  <si>
    <t>255/80 R18</t>
  </si>
  <si>
    <t>255/80 R19</t>
  </si>
  <si>
    <t>RRR</t>
  </si>
  <si>
    <t xml:space="preserve">Nom </t>
  </si>
  <si>
    <t>Prénom</t>
  </si>
  <si>
    <t xml:space="preserve">Matricule </t>
  </si>
  <si>
    <t>Date</t>
  </si>
  <si>
    <t xml:space="preserve">Type de découpe demandée </t>
  </si>
  <si>
    <t xml:space="preserve">Profilé </t>
  </si>
  <si>
    <t>Droite</t>
  </si>
  <si>
    <t>Kannengiesser</t>
  </si>
  <si>
    <t>Maxime</t>
  </si>
  <si>
    <t xml:space="preserve">Quantité </t>
  </si>
  <si>
    <t>Priorisation</t>
  </si>
  <si>
    <t xml:space="preserve">Demande de découpe </t>
  </si>
  <si>
    <t>Justification</t>
  </si>
  <si>
    <t xml:space="preserve">Arrêt d'une presse </t>
  </si>
  <si>
    <t xml:space="preserve">Si priorité 1, la demande doit être justifiée </t>
  </si>
  <si>
    <t xml:space="preserve">Carine attente </t>
  </si>
  <si>
    <t xml:space="preserve">Automatique </t>
  </si>
  <si>
    <t xml:space="preserve">Manuelle </t>
  </si>
  <si>
    <t xml:space="preserve">Valider l'ordre </t>
  </si>
  <si>
    <t xml:space="preserve">12 min pour une droite </t>
  </si>
  <si>
    <t>13 min pour une profilée</t>
  </si>
  <si>
    <t xml:space="preserve">Problèmes survenus pendant le poste </t>
  </si>
  <si>
    <t xml:space="preserve">Paramétrage du graphique </t>
  </si>
  <si>
    <t xml:space="preserve">Temps de création d'une découpe profilé </t>
  </si>
  <si>
    <t xml:space="preserve">Temps de création d'une découpe droite </t>
  </si>
  <si>
    <t>En production</t>
  </si>
  <si>
    <t xml:space="preserve">En arrêt </t>
  </si>
  <si>
    <t xml:space="preserve">En pause </t>
  </si>
  <si>
    <t xml:space="preserve">Panne scie </t>
  </si>
  <si>
    <t xml:space="preserve">Panne meule </t>
  </si>
  <si>
    <t>Panne aspiration</t>
  </si>
  <si>
    <t xml:space="preserve">Découpe manquée </t>
  </si>
  <si>
    <t xml:space="preserve">Date de livraison </t>
  </si>
  <si>
    <t xml:space="preserve">Découpe droite </t>
  </si>
  <si>
    <t xml:space="preserve">Découpe profilée </t>
  </si>
  <si>
    <t xml:space="preserve">Date </t>
  </si>
  <si>
    <t xml:space="preserve">Statut </t>
  </si>
  <si>
    <t xml:space="preserve">Poste </t>
  </si>
  <si>
    <t>Temps (min)</t>
  </si>
  <si>
    <t>Heure</t>
  </si>
  <si>
    <t xml:space="preserve">Code à barre / linge </t>
  </si>
  <si>
    <t xml:space="preserve">Scann </t>
  </si>
  <si>
    <t xml:space="preserve">Deux phases </t>
  </si>
  <si>
    <t>CDCF</t>
  </si>
  <si>
    <t xml:space="preserve">Maquette d'étiquette </t>
  </si>
  <si>
    <t xml:space="preserve">CDCF word avec le pourquoi ? Comment ? </t>
  </si>
  <si>
    <t>= saisie du code barres en Anomaly Code 05 dans MCAT et Classification X</t>
  </si>
  <si>
    <t>MCBR</t>
  </si>
  <si>
    <t>http://sgtm15c02pc01/Grading/Edit?roleName=GRDVI</t>
  </si>
  <si>
    <t>prios</t>
  </si>
  <si>
    <t>Arrêt machine</t>
  </si>
  <si>
    <t>Modif ISD ou défaut fabrication</t>
  </si>
  <si>
    <t>Autres</t>
  </si>
  <si>
    <t>205/55 R17 91 V ECOCONTACT 6 VW</t>
  </si>
  <si>
    <t>Numéro CB</t>
  </si>
  <si>
    <t>idée ? Découpe à jeter à date ?</t>
  </si>
  <si>
    <t>calcul suivant légal PI</t>
  </si>
  <si>
    <t>N°ETO – N°RN</t>
  </si>
  <si>
    <t xml:space="preserve">Mettre un verrou pour les doublons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</si>
</sst>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0" borderId="0" xfId="0" applyFont="1"/>
    <xf numFmtId="0" fontId="2" fillId="4" borderId="0" xfId="0" applyFont="1" applyFill="1"/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5" xfId="0" applyFont="1" applyBorder="1"/>
    <xf numFmtId="0" fontId="5" fillId="2" borderId="1" xfId="0" applyFont="1" applyFill="1" applyBorder="1"/>
    <xf numFmtId="0" fontId="5" fillId="0" borderId="1" xfId="0" applyFont="1" applyBorder="1"/>
    <xf numFmtId="20" fontId="0" fillId="0" borderId="1" xfId="0" applyNumberFormat="1" applyBorder="1" applyAlignment="1"/>
    <xf numFmtId="0" fontId="0" fillId="0" borderId="0" xfId="0" applyBorder="1"/>
    <xf numFmtId="0" fontId="0" fillId="0" borderId="6" xfId="0" applyBorder="1"/>
    <xf numFmtId="14" fontId="0" fillId="0" borderId="0" xfId="0" applyNumberForma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 wrapText="1"/>
    </xf>
    <xf numFmtId="0" fontId="6" fillId="0" borderId="0" xfId="0" quotePrefix="1" applyFont="1"/>
    <xf numFmtId="0" fontId="6" fillId="0" borderId="0" xfId="0" applyFont="1"/>
    <xf numFmtId="0" fontId="7" fillId="0" borderId="0" xfId="1"/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'Page de présentation des FAB'!$Q$4</c:f>
              <c:strCache>
                <c:ptCount val="1"/>
                <c:pt idx="0">
                  <c:v>Réalisé 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'Page de présentation des FAB'!$Q$5:$Q$12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8-4F79-AAC1-03A52628C230}"/>
            </c:ext>
          </c:extLst>
        </c:ser>
        <c:ser>
          <c:idx val="1"/>
          <c:order val="1"/>
          <c:tx>
            <c:strRef>
              <c:f>'Page de présentation des FAB'!$R$4</c:f>
              <c:strCache>
                <c:ptCount val="1"/>
                <c:pt idx="0">
                  <c:v>Obj 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'Page de présentation des FAB'!$R$5:$R$12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8-4F79-AAC1-03A52628C2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9779944"/>
        <c:axId val="1029781744"/>
      </c:lineChart>
      <c:catAx>
        <c:axId val="102977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9781744"/>
        <c:crosses val="autoZero"/>
        <c:auto val="1"/>
        <c:lblAlgn val="ctr"/>
        <c:lblOffset val="100"/>
        <c:noMultiLvlLbl val="0"/>
      </c:catAx>
      <c:valAx>
        <c:axId val="10297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coupes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9779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33131</xdr:colOff>
      <xdr:row>0</xdr:row>
      <xdr:rowOff>6626</xdr:rowOff>
    </xdr:from>
    <xdr:to>
      <xdr:col>19</xdr:col>
      <xdr:colOff>755374</xdr:colOff>
      <xdr:row>15</xdr:row>
      <xdr:rowOff>145677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53293A-74CC-BA60-CA50-D678FC0C5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447260</xdr:colOff>
      <xdr:row>26</xdr:row>
      <xdr:rowOff>16169</xdr:rowOff>
    </xdr:from>
    <xdr:to>
      <xdr:col>16</xdr:col>
      <xdr:colOff>683119</xdr:colOff>
      <xdr:row>35</xdr:row>
      <xdr:rowOff>142874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39335A-A550-4B4C-BF7B-1FEBCC5344F5}"/>
            </a:ext>
          </a:extLst>
        </xdr:cNvPr>
        <xdr:cNvSpPr/>
      </xdr:nvSpPr>
      <xdr:spPr>
        <a:xfrm>
          <a:off x="11410535" y="5350169"/>
          <a:ext cx="1474109" cy="184120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Doit</a:t>
          </a:r>
          <a:r>
            <a:rPr lang="fr-FR" sz="1400" baseline="0"/>
            <a:t> être calculé ; date d'entrée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(premier scan à l'entrée de l'inspection  + 24 heures)</a:t>
          </a:r>
          <a:endParaRPr lang="fr-FR" sz="1400" b="1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  <xdr:twoCellAnchor>
    <xdr:from>
      <xdr:col>13</xdr:col>
      <xdr:colOff>74542</xdr:colOff>
      <xdr:row>29</xdr:row>
      <xdr:rowOff>80617</xdr:rowOff>
    </xdr:from>
    <xdr:to>
      <xdr:col>14</xdr:col>
      <xdr:colOff>323849</xdr:colOff>
      <xdr:row>38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AA0886-D38D-4A13-BD13-26F2EDECD693}"/>
            </a:ext>
          </a:extLst>
        </xdr:cNvPr>
        <xdr:cNvSpPr/>
      </xdr:nvSpPr>
      <xdr:spPr>
        <a:xfrm>
          <a:off x="9990067" y="5986117"/>
          <a:ext cx="1297057" cy="173865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Date</a:t>
          </a:r>
          <a:r>
            <a:rPr lang="fr-FR" sz="1400" baseline="0"/>
            <a:t> à laquelle l'ordre a été validé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selon action manuelle de l'opérateur de découpe</a:t>
          </a:r>
        </a:p>
        <a:p>
          <a:pPr algn="l"/>
          <a:r>
            <a:rPr lang="fr-FR" sz="1400"/>
            <a:t> </a:t>
          </a:r>
        </a:p>
      </xdr:txBody>
    </xdr:sp>
    <xdr:clientData/>
  </xdr:twoCellAnchor>
  <xdr:twoCellAnchor>
    <xdr:from>
      <xdr:col>12</xdr:col>
      <xdr:colOff>582387</xdr:colOff>
      <xdr:row>8</xdr:row>
      <xdr:rowOff>98578</xdr:rowOff>
    </xdr:from>
    <xdr:to>
      <xdr:col>14</xdr:col>
      <xdr:colOff>474134</xdr:colOff>
      <xdr:row>12</xdr:row>
      <xdr:rowOff>101601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5EC649-0377-4101-B05E-B6C23CDE2ADB}"/>
            </a:ext>
          </a:extLst>
        </xdr:cNvPr>
        <xdr:cNvSpPr/>
      </xdr:nvSpPr>
      <xdr:spPr>
        <a:xfrm>
          <a:off x="9963454" y="1808845"/>
          <a:ext cx="1788280" cy="77066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400"/>
        </a:p>
      </xdr:txBody>
    </xdr:sp>
    <xdr:clientData/>
  </xdr:twoCellAnchor>
  <xdr:twoCellAnchor>
    <xdr:from>
      <xdr:col>12</xdr:col>
      <xdr:colOff>667054</xdr:colOff>
      <xdr:row>8</xdr:row>
      <xdr:rowOff>126801</xdr:rowOff>
    </xdr:from>
    <xdr:to>
      <xdr:col>14</xdr:col>
      <xdr:colOff>366889</xdr:colOff>
      <xdr:row>10</xdr:row>
      <xdr:rowOff>141113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6FC656-A1BC-4569-860E-0AB216F24ADB}"/>
            </a:ext>
          </a:extLst>
        </xdr:cNvPr>
        <xdr:cNvSpPr/>
      </xdr:nvSpPr>
      <xdr:spPr>
        <a:xfrm>
          <a:off x="10048121" y="1837068"/>
          <a:ext cx="1596368" cy="39813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Ordre</a:t>
          </a:r>
          <a:r>
            <a:rPr lang="fr-FR" sz="1400" baseline="0"/>
            <a:t> réalisé</a:t>
          </a:r>
          <a:endParaRPr lang="fr-FR" sz="1400"/>
        </a:p>
      </xdr:txBody>
    </xdr:sp>
    <xdr:clientData/>
  </xdr:twoCellAnchor>
  <xdr:twoCellAnchor>
    <xdr:from>
      <xdr:col>12</xdr:col>
      <xdr:colOff>655765</xdr:colOff>
      <xdr:row>10</xdr:row>
      <xdr:rowOff>169332</xdr:rowOff>
    </xdr:from>
    <xdr:to>
      <xdr:col>14</xdr:col>
      <xdr:colOff>355600</xdr:colOff>
      <xdr:row>11</xdr:row>
      <xdr:rowOff>118534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F782EA3-7FBD-42FC-918D-6F1C2316BE3C}"/>
            </a:ext>
          </a:extLst>
        </xdr:cNvPr>
        <xdr:cNvSpPr/>
      </xdr:nvSpPr>
      <xdr:spPr>
        <a:xfrm>
          <a:off x="10036832" y="2263421"/>
          <a:ext cx="1596368" cy="14111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Oui    -     Non</a:t>
          </a:r>
        </a:p>
      </xdr:txBody>
    </xdr:sp>
    <xdr:clientData/>
  </xdr:twoCellAnchor>
  <xdr:twoCellAnchor>
    <xdr:from>
      <xdr:col>13</xdr:col>
      <xdr:colOff>654326</xdr:colOff>
      <xdr:row>6</xdr:row>
      <xdr:rowOff>157369</xdr:rowOff>
    </xdr:from>
    <xdr:to>
      <xdr:col>13</xdr:col>
      <xdr:colOff>664924</xdr:colOff>
      <xdr:row>8</xdr:row>
      <xdr:rowOff>98578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911BEA3A-FA64-8503-7231-2FD2020A2285}"/>
            </a:ext>
          </a:extLst>
        </xdr:cNvPr>
        <xdr:cNvCxnSpPr>
          <a:stCxn id="5" idx="0"/>
        </xdr:cNvCxnSpPr>
      </xdr:nvCxnSpPr>
      <xdr:spPr>
        <a:xfrm flipH="1" flipV="1">
          <a:off x="10817087" y="1474304"/>
          <a:ext cx="10598" cy="3222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405847</xdr:colOff>
      <xdr:row>19</xdr:row>
      <xdr:rowOff>74543</xdr:rowOff>
    </xdr:from>
    <xdr:to>
      <xdr:col>15</xdr:col>
      <xdr:colOff>203240</xdr:colOff>
      <xdr:row>26</xdr:row>
      <xdr:rowOff>16169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68A7534C-0C0B-4E06-88FD-5B79D6760B16}"/>
            </a:ext>
          </a:extLst>
        </xdr:cNvPr>
        <xdr:cNvCxnSpPr>
          <a:stCxn id="3" idx="0"/>
        </xdr:cNvCxnSpPr>
      </xdr:nvCxnSpPr>
      <xdr:spPr>
        <a:xfrm flipH="1" flipV="1">
          <a:off x="11369122" y="4075043"/>
          <a:ext cx="778468" cy="127512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554935</xdr:colOff>
      <xdr:row>19</xdr:row>
      <xdr:rowOff>16565</xdr:rowOff>
    </xdr:from>
    <xdr:to>
      <xdr:col>13</xdr:col>
      <xdr:colOff>723071</xdr:colOff>
      <xdr:row>29</xdr:row>
      <xdr:rowOff>80617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2D9E32D8-96A7-463C-AB73-F43947F17557}"/>
            </a:ext>
          </a:extLst>
        </xdr:cNvPr>
        <xdr:cNvCxnSpPr>
          <a:stCxn id="4" idx="0"/>
        </xdr:cNvCxnSpPr>
      </xdr:nvCxnSpPr>
      <xdr:spPr>
        <a:xfrm flipH="1" flipV="1">
          <a:off x="10470460" y="4017065"/>
          <a:ext cx="168136" cy="19690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1030357</xdr:colOff>
      <xdr:row>28</xdr:row>
      <xdr:rowOff>129814</xdr:rowOff>
    </xdr:from>
    <xdr:to>
      <xdr:col>13</xdr:col>
      <xdr:colOff>17932</xdr:colOff>
      <xdr:row>36</xdr:row>
      <xdr:rowOff>57149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BFDE6D5-40A4-4FFB-95E2-ADDA576DE3C0}"/>
            </a:ext>
          </a:extLst>
        </xdr:cNvPr>
        <xdr:cNvSpPr/>
      </xdr:nvSpPr>
      <xdr:spPr>
        <a:xfrm>
          <a:off x="9288532" y="5559064"/>
          <a:ext cx="911625" cy="13751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Mettre en rouge / gras la priorité 1</a:t>
          </a:r>
        </a:p>
      </xdr:txBody>
    </xdr:sp>
    <xdr:clientData/>
  </xdr:twoCellAnchor>
  <xdr:twoCellAnchor>
    <xdr:from>
      <xdr:col>11</xdr:col>
      <xdr:colOff>720063</xdr:colOff>
      <xdr:row>12</xdr:row>
      <xdr:rowOff>185454</xdr:rowOff>
    </xdr:from>
    <xdr:to>
      <xdr:col>13</xdr:col>
      <xdr:colOff>595245</xdr:colOff>
      <xdr:row>23</xdr:row>
      <xdr:rowOff>104775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C03DA3E-54B7-435D-8DC8-1D19448C2A1C}"/>
            </a:ext>
          </a:extLst>
        </xdr:cNvPr>
        <xdr:cNvSpPr/>
      </xdr:nvSpPr>
      <xdr:spPr>
        <a:xfrm>
          <a:off x="8768688" y="2852454"/>
          <a:ext cx="1742082" cy="201482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400"/>
        </a:p>
      </xdr:txBody>
    </xdr:sp>
    <xdr:clientData/>
  </xdr:twoCellAnchor>
  <xdr:twoCellAnchor>
    <xdr:from>
      <xdr:col>11</xdr:col>
      <xdr:colOff>852355</xdr:colOff>
      <xdr:row>13</xdr:row>
      <xdr:rowOff>156525</xdr:rowOff>
    </xdr:from>
    <xdr:to>
      <xdr:col>13</xdr:col>
      <xdr:colOff>535625</xdr:colOff>
      <xdr:row>21</xdr:row>
      <xdr:rowOff>104775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390C57C-730D-4CBE-9354-9BA642E6420A}"/>
            </a:ext>
          </a:extLst>
        </xdr:cNvPr>
        <xdr:cNvSpPr/>
      </xdr:nvSpPr>
      <xdr:spPr>
        <a:xfrm>
          <a:off x="8900980" y="3014025"/>
          <a:ext cx="1550170" cy="14722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Afficher</a:t>
          </a:r>
          <a:r>
            <a:rPr lang="fr-FR" sz="1400" baseline="0"/>
            <a:t> le commentaire en pop-up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selon "Page d'entrée des données"</a:t>
          </a:r>
          <a:endParaRPr lang="fr-FR" sz="1400" b="1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  <xdr:twoCellAnchor>
    <xdr:from>
      <xdr:col>12</xdr:col>
      <xdr:colOff>364435</xdr:colOff>
      <xdr:row>3</xdr:row>
      <xdr:rowOff>33130</xdr:rowOff>
    </xdr:from>
    <xdr:to>
      <xdr:col>12</xdr:col>
      <xdr:colOff>514779</xdr:colOff>
      <xdr:row>12</xdr:row>
      <xdr:rowOff>185454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AF3FE993-71A6-46DC-A606-06B89694A7FC}"/>
            </a:ext>
          </a:extLst>
        </xdr:cNvPr>
        <xdr:cNvCxnSpPr>
          <a:stCxn id="20" idx="0"/>
        </xdr:cNvCxnSpPr>
      </xdr:nvCxnSpPr>
      <xdr:spPr>
        <a:xfrm flipH="1" flipV="1">
          <a:off x="9489385" y="985630"/>
          <a:ext cx="150344" cy="18668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123324</xdr:colOff>
      <xdr:row>28</xdr:row>
      <xdr:rowOff>56912</xdr:rowOff>
    </xdr:from>
    <xdr:to>
      <xdr:col>3</xdr:col>
      <xdr:colOff>2011908</xdr:colOff>
      <xdr:row>33</xdr:row>
      <xdr:rowOff>64170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36A5371-C5BE-4942-BE54-188DB6922D92}"/>
            </a:ext>
          </a:extLst>
        </xdr:cNvPr>
        <xdr:cNvSpPr/>
      </xdr:nvSpPr>
      <xdr:spPr>
        <a:xfrm>
          <a:off x="123324" y="5771912"/>
          <a:ext cx="5203284" cy="95975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A prendre de la</a:t>
          </a:r>
          <a:r>
            <a:rPr lang="fr-FR" sz="1400" baseline="0"/>
            <a:t> page d'entrée </a:t>
          </a:r>
        </a:p>
        <a:p>
          <a:pPr algn="l"/>
          <a:r>
            <a:rPr lang="fr-FR" sz="1400" baseline="0"/>
            <a:t>voir onglet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"Page d'entrée des données" </a:t>
          </a:r>
          <a:endParaRPr lang="fr-FR" sz="1400" b="1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  <xdr:twoCellAnchor>
    <xdr:from>
      <xdr:col>12</xdr:col>
      <xdr:colOff>381270</xdr:colOff>
      <xdr:row>21</xdr:row>
      <xdr:rowOff>104775</xdr:rowOff>
    </xdr:from>
    <xdr:to>
      <xdr:col>12</xdr:col>
      <xdr:colOff>551115</xdr:colOff>
      <xdr:row>28</xdr:row>
      <xdr:rowOff>129814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6B2EF105-60A5-430B-98D0-E21096BA7CB9}"/>
            </a:ext>
          </a:extLst>
        </xdr:cNvPr>
        <xdr:cNvCxnSpPr>
          <a:stCxn id="19" idx="0"/>
          <a:endCxn id="21" idx="2"/>
        </xdr:cNvCxnSpPr>
      </xdr:nvCxnSpPr>
      <xdr:spPr>
        <a:xfrm flipV="1">
          <a:off x="9506220" y="4486275"/>
          <a:ext cx="169845" cy="135853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1194179</xdr:colOff>
      <xdr:row>15</xdr:row>
      <xdr:rowOff>79612</xdr:rowOff>
    </xdr:from>
    <xdr:to>
      <xdr:col>3</xdr:col>
      <xdr:colOff>1296537</xdr:colOff>
      <xdr:row>27</xdr:row>
      <xdr:rowOff>136477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71BF309E-CB37-4591-8FC2-08D0E11A471F}"/>
            </a:ext>
          </a:extLst>
        </xdr:cNvPr>
        <xdr:cNvCxnSpPr/>
      </xdr:nvCxnSpPr>
      <xdr:spPr>
        <a:xfrm flipV="1">
          <a:off x="4594746" y="3150358"/>
          <a:ext cx="102358" cy="22973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409433</xdr:colOff>
      <xdr:row>16</xdr:row>
      <xdr:rowOff>0</xdr:rowOff>
    </xdr:from>
    <xdr:to>
      <xdr:col>0</xdr:col>
      <xdr:colOff>686937</xdr:colOff>
      <xdr:row>28</xdr:row>
      <xdr:rowOff>38669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D41757C5-50AA-4BA3-B55A-3A2523D069AA}"/>
            </a:ext>
          </a:extLst>
        </xdr:cNvPr>
        <xdr:cNvCxnSpPr/>
      </xdr:nvCxnSpPr>
      <xdr:spPr>
        <a:xfrm flipH="1" flipV="1">
          <a:off x="409433" y="3264090"/>
          <a:ext cx="277504" cy="22678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477671</xdr:colOff>
      <xdr:row>16</xdr:row>
      <xdr:rowOff>68238</xdr:rowOff>
    </xdr:from>
    <xdr:to>
      <xdr:col>1</xdr:col>
      <xdr:colOff>489044</xdr:colOff>
      <xdr:row>27</xdr:row>
      <xdr:rowOff>170597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7D8C9FB7-3BCC-43F6-814B-FF6B62DBD409}"/>
            </a:ext>
          </a:extLst>
        </xdr:cNvPr>
        <xdr:cNvCxnSpPr/>
      </xdr:nvCxnSpPr>
      <xdr:spPr>
        <a:xfrm flipV="1">
          <a:off x="1455761" y="3332328"/>
          <a:ext cx="11373" cy="21495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534537</xdr:colOff>
      <xdr:row>16</xdr:row>
      <xdr:rowOff>125104</xdr:rowOff>
    </xdr:from>
    <xdr:to>
      <xdr:col>2</xdr:col>
      <xdr:colOff>545910</xdr:colOff>
      <xdr:row>28</xdr:row>
      <xdr:rowOff>45492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C4494D36-43A8-44C0-A1D0-43B7D2B07EFE}"/>
            </a:ext>
          </a:extLst>
        </xdr:cNvPr>
        <xdr:cNvCxnSpPr/>
      </xdr:nvCxnSpPr>
      <xdr:spPr>
        <a:xfrm flipH="1" flipV="1">
          <a:off x="2820537" y="3389194"/>
          <a:ext cx="11373" cy="21495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710514</xdr:colOff>
      <xdr:row>19</xdr:row>
      <xdr:rowOff>113271</xdr:rowOff>
    </xdr:from>
    <xdr:to>
      <xdr:col>6</xdr:col>
      <xdr:colOff>39036</xdr:colOff>
      <xdr:row>28</xdr:row>
      <xdr:rowOff>13285</xdr:rowOff>
    </xdr:to>
    <xdr:cxnSp macro="">
      <xdr:nvCxnSpPr>
        <xdr:cNvPr id="44" name="Connecteur droit 43">
          <a:extLst>
            <a:ext uri="{FF2B5EF4-FFF2-40B4-BE49-F238E27FC236}">
              <a16:creationId xmlns:a16="http://schemas.microsoft.com/office/drawing/2014/main" id="{4E629C3F-A948-4948-B383-5C6FB3618C47}"/>
            </a:ext>
          </a:extLst>
        </xdr:cNvPr>
        <xdr:cNvCxnSpPr/>
      </xdr:nvCxnSpPr>
      <xdr:spPr>
        <a:xfrm flipH="1" flipV="1">
          <a:off x="6497595" y="4005649"/>
          <a:ext cx="553900" cy="1578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185351</xdr:colOff>
      <xdr:row>19</xdr:row>
      <xdr:rowOff>61784</xdr:rowOff>
    </xdr:from>
    <xdr:to>
      <xdr:col>6</xdr:col>
      <xdr:colOff>191436</xdr:colOff>
      <xdr:row>28</xdr:row>
      <xdr:rowOff>165685</xdr:rowOff>
    </xdr:to>
    <xdr:cxnSp macro="">
      <xdr:nvCxnSpPr>
        <xdr:cNvPr id="46" name="Connecteur droit 45">
          <a:extLst>
            <a:ext uri="{FF2B5EF4-FFF2-40B4-BE49-F238E27FC236}">
              <a16:creationId xmlns:a16="http://schemas.microsoft.com/office/drawing/2014/main" id="{3F2F073F-FA30-499C-A6C8-4A3AE9B7BB42}"/>
            </a:ext>
          </a:extLst>
        </xdr:cNvPr>
        <xdr:cNvCxnSpPr/>
      </xdr:nvCxnSpPr>
      <xdr:spPr>
        <a:xfrm flipH="1" flipV="1">
          <a:off x="6827108" y="3954162"/>
          <a:ext cx="376787" cy="178236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175055</xdr:colOff>
      <xdr:row>19</xdr:row>
      <xdr:rowOff>113271</xdr:rowOff>
    </xdr:from>
    <xdr:to>
      <xdr:col>7</xdr:col>
      <xdr:colOff>96700</xdr:colOff>
      <xdr:row>29</xdr:row>
      <xdr:rowOff>132734</xdr:rowOff>
    </xdr:to>
    <xdr:cxnSp macro="">
      <xdr:nvCxnSpPr>
        <xdr:cNvPr id="48" name="Connecteur droit 47">
          <a:extLst>
            <a:ext uri="{FF2B5EF4-FFF2-40B4-BE49-F238E27FC236}">
              <a16:creationId xmlns:a16="http://schemas.microsoft.com/office/drawing/2014/main" id="{F57327D4-7C07-4C1A-87BD-F485732E48C4}"/>
            </a:ext>
          </a:extLst>
        </xdr:cNvPr>
        <xdr:cNvCxnSpPr/>
      </xdr:nvCxnSpPr>
      <xdr:spPr>
        <a:xfrm flipH="1" flipV="1">
          <a:off x="7187514" y="4005649"/>
          <a:ext cx="168781" cy="18832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144162</xdr:colOff>
      <xdr:row>28</xdr:row>
      <xdr:rowOff>5076</xdr:rowOff>
    </xdr:from>
    <xdr:to>
      <xdr:col>11</xdr:col>
      <xdr:colOff>438481</xdr:colOff>
      <xdr:row>33</xdr:row>
      <xdr:rowOff>12334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A860809-DD77-4CE8-BD4C-EBBAF164D089}"/>
            </a:ext>
          </a:extLst>
        </xdr:cNvPr>
        <xdr:cNvSpPr/>
      </xdr:nvSpPr>
      <xdr:spPr>
        <a:xfrm>
          <a:off x="5931243" y="5575914"/>
          <a:ext cx="2755373" cy="93401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Entrée</a:t>
          </a:r>
          <a:r>
            <a:rPr lang="fr-FR" sz="1400" baseline="0"/>
            <a:t> automatique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"MCBR" </a:t>
          </a:r>
        </a:p>
        <a:p>
          <a:pPr algn="l"/>
          <a:r>
            <a:rPr lang="fr-FR" sz="1400" b="1">
              <a:solidFill>
                <a:schemeClr val="tx2">
                  <a:lumMod val="25000"/>
                  <a:lumOff val="75000"/>
                </a:schemeClr>
              </a:solidFill>
            </a:rPr>
            <a:t>http://sgtmsrv09/intranet/usine/mcbr/</a:t>
          </a:r>
        </a:p>
      </xdr:txBody>
    </xdr:sp>
    <xdr:clientData/>
  </xdr:twoCellAnchor>
  <xdr:twoCellAnchor>
    <xdr:from>
      <xdr:col>10</xdr:col>
      <xdr:colOff>30892</xdr:colOff>
      <xdr:row>0</xdr:row>
      <xdr:rowOff>51486</xdr:rowOff>
    </xdr:from>
    <xdr:to>
      <xdr:col>11</xdr:col>
      <xdr:colOff>937054</xdr:colOff>
      <xdr:row>8</xdr:row>
      <xdr:rowOff>113271</xdr:rowOff>
    </xdr:to>
    <xdr:sp macro="" textlink="">
      <xdr:nvSpPr>
        <xdr:cNvPr id="53" name="Ellipse 52">
          <a:extLst>
            <a:ext uri="{FF2B5EF4-FFF2-40B4-BE49-F238E27FC236}">
              <a16:creationId xmlns:a16="http://schemas.microsoft.com/office/drawing/2014/main" id="{3037364D-8E98-0104-4136-48121CA42FC5}"/>
            </a:ext>
          </a:extLst>
        </xdr:cNvPr>
        <xdr:cNvSpPr/>
      </xdr:nvSpPr>
      <xdr:spPr>
        <a:xfrm>
          <a:off x="8031892" y="51486"/>
          <a:ext cx="1153297" cy="1802028"/>
        </a:xfrm>
        <a:prstGeom prst="ellipse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937054</xdr:colOff>
      <xdr:row>3</xdr:row>
      <xdr:rowOff>190500</xdr:rowOff>
    </xdr:from>
    <xdr:to>
      <xdr:col>17</xdr:col>
      <xdr:colOff>401595</xdr:colOff>
      <xdr:row>10</xdr:row>
      <xdr:rowOff>41189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EAAAD3EC-FAF7-5179-DD64-D86C9FA89076}"/>
            </a:ext>
          </a:extLst>
        </xdr:cNvPr>
        <xdr:cNvCxnSpPr>
          <a:stCxn id="53" idx="6"/>
        </xdr:cNvCxnSpPr>
      </xdr:nvCxnSpPr>
      <xdr:spPr>
        <a:xfrm>
          <a:off x="9185189" y="952500"/>
          <a:ext cx="4252784" cy="12202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677188</xdr:colOff>
      <xdr:row>8</xdr:row>
      <xdr:rowOff>90448</xdr:rowOff>
    </xdr:from>
    <xdr:to>
      <xdr:col>4</xdr:col>
      <xdr:colOff>104135</xdr:colOff>
      <xdr:row>13</xdr:row>
      <xdr:rowOff>148924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BBB325-C748-4D41-9DCC-B2B6C9A473F1}"/>
            </a:ext>
          </a:extLst>
        </xdr:cNvPr>
        <xdr:cNvSpPr/>
      </xdr:nvSpPr>
      <xdr:spPr>
        <a:xfrm>
          <a:off x="4098717" y="1808683"/>
          <a:ext cx="1802594" cy="102965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Le découpeur doit</a:t>
          </a:r>
          <a:r>
            <a:rPr lang="fr-FR" sz="1400" baseline="0"/>
            <a:t> se connecter tous les jours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avec matricule et mot de passe </a:t>
          </a:r>
          <a:endParaRPr lang="fr-FR" sz="1400" b="1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  <xdr:twoCellAnchor>
    <xdr:from>
      <xdr:col>22</xdr:col>
      <xdr:colOff>243969</xdr:colOff>
      <xdr:row>2</xdr:row>
      <xdr:rowOff>26324</xdr:rowOff>
    </xdr:from>
    <xdr:to>
      <xdr:col>22</xdr:col>
      <xdr:colOff>417325</xdr:colOff>
      <xdr:row>2</xdr:row>
      <xdr:rowOff>147326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286B63A-B838-4F15-8DD6-F9D87005FB1A}"/>
            </a:ext>
          </a:extLst>
        </xdr:cNvPr>
        <xdr:cNvSpPr/>
      </xdr:nvSpPr>
      <xdr:spPr>
        <a:xfrm>
          <a:off x="17305979" y="584621"/>
          <a:ext cx="173356" cy="121002"/>
        </a:xfrm>
        <a:prstGeom prst="rect">
          <a:avLst/>
        </a:prstGeom>
        <a:solidFill>
          <a:schemeClr val="accent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400"/>
        </a:p>
      </xdr:txBody>
    </xdr:sp>
    <xdr:clientData/>
  </xdr:twoCellAnchor>
  <xdr:twoCellAnchor>
    <xdr:from>
      <xdr:col>22</xdr:col>
      <xdr:colOff>245691</xdr:colOff>
      <xdr:row>3</xdr:row>
      <xdr:rowOff>41824</xdr:rowOff>
    </xdr:from>
    <xdr:to>
      <xdr:col>22</xdr:col>
      <xdr:colOff>419047</xdr:colOff>
      <xdr:row>3</xdr:row>
      <xdr:rowOff>162826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2EF9F89F-C337-45B3-AE81-423FEB7E0BC9}"/>
            </a:ext>
          </a:extLst>
        </xdr:cNvPr>
        <xdr:cNvSpPr/>
      </xdr:nvSpPr>
      <xdr:spPr>
        <a:xfrm>
          <a:off x="17307701" y="792507"/>
          <a:ext cx="173356" cy="121002"/>
        </a:xfrm>
        <a:prstGeom prst="rect">
          <a:avLst/>
        </a:prstGeom>
        <a:solidFill>
          <a:srgbClr val="7030A0"/>
        </a:solidFill>
        <a:ln>
          <a:solidFill>
            <a:schemeClr val="accent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400"/>
        </a:p>
      </xdr:txBody>
    </xdr:sp>
    <xdr:clientData/>
  </xdr:twoCellAnchor>
  <xdr:twoCellAnchor>
    <xdr:from>
      <xdr:col>22</xdr:col>
      <xdr:colOff>243427</xdr:colOff>
      <xdr:row>4</xdr:row>
      <xdr:rowOff>35789</xdr:rowOff>
    </xdr:from>
    <xdr:to>
      <xdr:col>22</xdr:col>
      <xdr:colOff>416783</xdr:colOff>
      <xdr:row>4</xdr:row>
      <xdr:rowOff>156791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D45833B-D78F-4B36-B521-67D4B620BAE4}"/>
            </a:ext>
          </a:extLst>
        </xdr:cNvPr>
        <xdr:cNvSpPr/>
      </xdr:nvSpPr>
      <xdr:spPr>
        <a:xfrm>
          <a:off x="17305437" y="978858"/>
          <a:ext cx="173356" cy="121002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400"/>
        </a:p>
      </xdr:txBody>
    </xdr:sp>
    <xdr:clientData/>
  </xdr:twoCellAnchor>
  <xdr:twoCellAnchor>
    <xdr:from>
      <xdr:col>19</xdr:col>
      <xdr:colOff>580002</xdr:colOff>
      <xdr:row>7</xdr:row>
      <xdr:rowOff>94689</xdr:rowOff>
    </xdr:from>
    <xdr:to>
      <xdr:col>22</xdr:col>
      <xdr:colOff>723900</xdr:colOff>
      <xdr:row>16</xdr:row>
      <xdr:rowOff>104775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E0D2DE0-A0DA-4FBB-A4E9-F3ABB169E88F}"/>
            </a:ext>
          </a:extLst>
        </xdr:cNvPr>
        <xdr:cNvSpPr/>
      </xdr:nvSpPr>
      <xdr:spPr>
        <a:xfrm>
          <a:off x="15429477" y="1809189"/>
          <a:ext cx="1867923" cy="172458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Remise à 0 tous</a:t>
          </a:r>
          <a:r>
            <a:rPr lang="fr-FR" sz="1400" baseline="0"/>
            <a:t> les postes </a:t>
          </a:r>
          <a:r>
            <a:rPr lang="fr-FR" sz="1400" b="1" baseline="0">
              <a:solidFill>
                <a:schemeClr val="tx2">
                  <a:lumMod val="25000"/>
                  <a:lumOff val="75000"/>
                </a:schemeClr>
              </a:solidFill>
            </a:rPr>
            <a:t>automatiquement</a:t>
          </a:r>
        </a:p>
        <a:p>
          <a:pPr algn="l"/>
          <a:r>
            <a:rPr lang="fr-FR" sz="1400">
              <a:hlinkClick xmlns:r="http://schemas.openxmlformats.org/officeDocument/2006/relationships" r:id=""/>
            </a:rPr>
            <a:t>sgtmsrv08/dwh_cim/WebServices/DWHCIM_GetShiftInfos.php</a:t>
          </a:r>
          <a:r>
            <a:rPr lang="fr-FR" sz="1400" baseline="0"/>
            <a:t> </a:t>
          </a:r>
          <a:endParaRPr lang="fr-FR" sz="1400"/>
        </a:p>
      </xdr:txBody>
    </xdr:sp>
    <xdr:clientData/>
  </xdr:twoCellAnchor>
  <xdr:twoCellAnchor>
    <xdr:from>
      <xdr:col>16</xdr:col>
      <xdr:colOff>285363</xdr:colOff>
      <xdr:row>17</xdr:row>
      <xdr:rowOff>135329</xdr:rowOff>
    </xdr:from>
    <xdr:to>
      <xdr:col>18</xdr:col>
      <xdr:colOff>236742</xdr:colOff>
      <xdr:row>20</xdr:row>
      <xdr:rowOff>132080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192F4E7-33C9-407B-BAB3-836D79EBC01E}"/>
            </a:ext>
          </a:extLst>
        </xdr:cNvPr>
        <xdr:cNvSpPr/>
      </xdr:nvSpPr>
      <xdr:spPr>
        <a:xfrm>
          <a:off x="12853283" y="3589729"/>
          <a:ext cx="1516019" cy="57587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Liste</a:t>
          </a:r>
          <a:r>
            <a:rPr lang="fr-FR" sz="1400" baseline="0"/>
            <a:t> déroulante </a:t>
          </a:r>
          <a:endParaRPr lang="fr-F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5861</xdr:colOff>
      <xdr:row>27</xdr:row>
      <xdr:rowOff>89388</xdr:rowOff>
    </xdr:from>
    <xdr:to>
      <xdr:col>7</xdr:col>
      <xdr:colOff>184235</xdr:colOff>
      <xdr:row>32</xdr:row>
      <xdr:rowOff>104629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0280264-43DE-32D2-C7D2-C37170372AF9}"/>
            </a:ext>
          </a:extLst>
        </xdr:cNvPr>
        <xdr:cNvSpPr/>
      </xdr:nvSpPr>
      <xdr:spPr>
        <a:xfrm>
          <a:off x="6702669" y="3804138"/>
          <a:ext cx="1760989" cy="9311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Faire une requette automatique de la demande dans MCAT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mcbr.xlsx" TargetMode="External"/><Relationship Id="rId1" Type="http://schemas.openxmlformats.org/officeDocument/2006/relationships/externalLinkPath" Target="file:///Q:\mcb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Feuil2"/>
      <sheetName val="Feuil4"/>
    </sheetNames>
    <sheetDataSet>
      <sheetData sheetId="0"/>
      <sheetData sheetId="1">
        <row r="2">
          <cell r="A2" t="str">
            <v>Article</v>
          </cell>
          <cell r="B2" t="str">
            <v>TC</v>
          </cell>
          <cell r="C2" t="str">
            <v>BDR</v>
          </cell>
          <cell r="D2" t="str">
            <v>Dim</v>
          </cell>
          <cell r="E2" t="str">
            <v>IC</v>
          </cell>
          <cell r="F2" t="str">
            <v>V</v>
          </cell>
          <cell r="G2" t="str">
            <v>Profil</v>
          </cell>
          <cell r="H2" t="str">
            <v>Article</v>
          </cell>
          <cell r="I2" t="str">
            <v>ROL</v>
          </cell>
          <cell r="J2" t="str">
            <v>Clt</v>
          </cell>
          <cell r="K2" t="str">
            <v>Pl</v>
          </cell>
          <cell r="L2" t="str">
            <v>Couleur</v>
          </cell>
          <cell r="R2" t="str">
            <v>ASM</v>
          </cell>
        </row>
        <row r="3">
          <cell r="A3">
            <v>311183</v>
          </cell>
          <cell r="B3">
            <v>794</v>
          </cell>
          <cell r="C3">
            <v>5101</v>
          </cell>
          <cell r="D3" t="str">
            <v>235/55 R17</v>
          </cell>
          <cell r="E3">
            <v>103</v>
          </cell>
          <cell r="F3" t="str">
            <v>V</v>
          </cell>
          <cell r="G3" t="str">
            <v>CEC5 XL</v>
          </cell>
          <cell r="H3">
            <v>311183</v>
          </cell>
          <cell r="I3">
            <v>52724</v>
          </cell>
          <cell r="J3">
            <v>0</v>
          </cell>
          <cell r="K3" t="str">
            <v>R</v>
          </cell>
          <cell r="L3" t="str">
            <v>OYGOY</v>
          </cell>
          <cell r="M3" t="str">
            <v>O</v>
          </cell>
          <cell r="N3" t="str">
            <v>Y</v>
          </cell>
          <cell r="O3" t="str">
            <v>G</v>
          </cell>
          <cell r="P3" t="str">
            <v>O</v>
          </cell>
          <cell r="Q3" t="str">
            <v>Y</v>
          </cell>
          <cell r="R3" t="str">
            <v>-</v>
          </cell>
        </row>
        <row r="4">
          <cell r="A4">
            <v>311296</v>
          </cell>
          <cell r="B4">
            <v>847</v>
          </cell>
          <cell r="C4">
            <v>55</v>
          </cell>
          <cell r="D4" t="str">
            <v>235/55 R18</v>
          </cell>
          <cell r="E4">
            <v>100</v>
          </cell>
          <cell r="F4" t="str">
            <v>Y</v>
          </cell>
          <cell r="G4" t="str">
            <v>ECOCONTACT 6</v>
          </cell>
          <cell r="H4">
            <v>311296</v>
          </cell>
          <cell r="I4">
            <v>52846</v>
          </cell>
          <cell r="J4">
            <v>2</v>
          </cell>
          <cell r="K4" t="str">
            <v>R</v>
          </cell>
          <cell r="L4" t="str">
            <v>WGYGR</v>
          </cell>
          <cell r="M4" t="str">
            <v>W</v>
          </cell>
          <cell r="N4" t="str">
            <v>G</v>
          </cell>
          <cell r="O4" t="str">
            <v>Y</v>
          </cell>
          <cell r="P4" t="str">
            <v>G</v>
          </cell>
          <cell r="Q4" t="str">
            <v>R</v>
          </cell>
          <cell r="R4" t="str">
            <v>-</v>
          </cell>
        </row>
        <row r="5">
          <cell r="A5">
            <v>311335</v>
          </cell>
          <cell r="B5">
            <v>781</v>
          </cell>
          <cell r="C5">
            <v>6028</v>
          </cell>
          <cell r="D5" t="str">
            <v>215/55 R18</v>
          </cell>
          <cell r="E5">
            <v>95</v>
          </cell>
          <cell r="F5" t="str">
            <v>T</v>
          </cell>
          <cell r="G5" t="str">
            <v>ECOCONTACT 6 VW</v>
          </cell>
          <cell r="H5">
            <v>311335</v>
          </cell>
          <cell r="I5">
            <v>52680</v>
          </cell>
          <cell r="J5">
            <v>39</v>
          </cell>
          <cell r="K5" t="str">
            <v>P4</v>
          </cell>
          <cell r="L5" t="str">
            <v>GGWOW</v>
          </cell>
          <cell r="M5" t="str">
            <v>G</v>
          </cell>
          <cell r="N5" t="str">
            <v>G</v>
          </cell>
          <cell r="O5" t="str">
            <v>W</v>
          </cell>
          <cell r="P5" t="str">
            <v>O</v>
          </cell>
          <cell r="Q5" t="str">
            <v>W</v>
          </cell>
          <cell r="R5" t="str">
            <v>PR-INS</v>
          </cell>
        </row>
        <row r="6">
          <cell r="A6">
            <v>311650</v>
          </cell>
          <cell r="B6">
            <v>721</v>
          </cell>
          <cell r="C6">
            <v>3023</v>
          </cell>
          <cell r="D6" t="str">
            <v>225/55 R18</v>
          </cell>
          <cell r="E6">
            <v>102</v>
          </cell>
          <cell r="F6" t="str">
            <v>Y</v>
          </cell>
          <cell r="G6" t="str">
            <v>ECOCONTACT 6 XL</v>
          </cell>
          <cell r="H6">
            <v>311650</v>
          </cell>
          <cell r="I6">
            <v>52711</v>
          </cell>
          <cell r="J6">
            <v>0</v>
          </cell>
          <cell r="K6" t="str">
            <v>P8</v>
          </cell>
          <cell r="L6" t="str">
            <v>WGGG</v>
          </cell>
          <cell r="M6" t="str">
            <v>W</v>
          </cell>
          <cell r="N6" t="str">
            <v>G</v>
          </cell>
          <cell r="O6" t="str">
            <v>G</v>
          </cell>
          <cell r="P6" t="str">
            <v>G</v>
          </cell>
          <cell r="Q6" t="str">
            <v/>
          </cell>
          <cell r="R6" t="str">
            <v>-</v>
          </cell>
        </row>
        <row r="7">
          <cell r="A7">
            <v>311683</v>
          </cell>
          <cell r="B7">
            <v>85</v>
          </cell>
          <cell r="C7">
            <v>6118</v>
          </cell>
          <cell r="D7" t="str">
            <v>195/55 R16</v>
          </cell>
          <cell r="E7">
            <v>87</v>
          </cell>
          <cell r="F7" t="str">
            <v>V</v>
          </cell>
          <cell r="G7" t="str">
            <v>ECOCONTACT 6</v>
          </cell>
          <cell r="H7">
            <v>311683</v>
          </cell>
          <cell r="I7">
            <v>52082</v>
          </cell>
          <cell r="J7">
            <v>0</v>
          </cell>
          <cell r="K7" t="str">
            <v>P8</v>
          </cell>
          <cell r="L7" t="str">
            <v>GA</v>
          </cell>
          <cell r="M7" t="str">
            <v>G</v>
          </cell>
          <cell r="N7" t="str">
            <v>A</v>
          </cell>
          <cell r="O7" t="str">
            <v/>
          </cell>
          <cell r="P7" t="str">
            <v/>
          </cell>
          <cell r="Q7" t="str">
            <v/>
          </cell>
          <cell r="R7" t="str">
            <v>-</v>
          </cell>
        </row>
        <row r="8">
          <cell r="A8">
            <v>311749</v>
          </cell>
          <cell r="B8">
            <v>337</v>
          </cell>
          <cell r="C8">
            <v>2085</v>
          </cell>
          <cell r="D8" t="str">
            <v>205/55 R17</v>
          </cell>
          <cell r="E8">
            <v>95</v>
          </cell>
          <cell r="F8" t="str">
            <v>V</v>
          </cell>
          <cell r="G8" t="str">
            <v>PC6 XL</v>
          </cell>
          <cell r="H8">
            <v>311749</v>
          </cell>
          <cell r="I8">
            <v>52377</v>
          </cell>
          <cell r="J8">
            <v>0</v>
          </cell>
          <cell r="K8" t="str">
            <v>P4</v>
          </cell>
          <cell r="L8" t="str">
            <v>YW</v>
          </cell>
          <cell r="M8" t="str">
            <v>Y</v>
          </cell>
          <cell r="N8" t="str">
            <v>W</v>
          </cell>
          <cell r="O8" t="str">
            <v/>
          </cell>
          <cell r="P8" t="str">
            <v/>
          </cell>
          <cell r="Q8" t="str">
            <v/>
          </cell>
          <cell r="R8" t="str">
            <v>-</v>
          </cell>
        </row>
        <row r="9">
          <cell r="A9">
            <v>312002</v>
          </cell>
          <cell r="B9">
            <v>371</v>
          </cell>
          <cell r="C9">
            <v>4027</v>
          </cell>
          <cell r="D9" t="str">
            <v>145/65 R15</v>
          </cell>
          <cell r="E9">
            <v>73</v>
          </cell>
          <cell r="F9" t="str">
            <v>T</v>
          </cell>
          <cell r="G9" t="str">
            <v>ECOCONTACT 6</v>
          </cell>
          <cell r="H9">
            <v>312002</v>
          </cell>
          <cell r="I9">
            <v>52372</v>
          </cell>
          <cell r="J9">
            <v>0</v>
          </cell>
          <cell r="K9" t="str">
            <v>P8</v>
          </cell>
          <cell r="L9" t="str">
            <v>YAG</v>
          </cell>
          <cell r="M9" t="str">
            <v>Y</v>
          </cell>
          <cell r="N9" t="str">
            <v>A</v>
          </cell>
          <cell r="O9" t="str">
            <v>G</v>
          </cell>
          <cell r="P9" t="str">
            <v/>
          </cell>
          <cell r="Q9" t="str">
            <v/>
          </cell>
          <cell r="R9" t="str">
            <v>-</v>
          </cell>
        </row>
        <row r="10">
          <cell r="A10">
            <v>312007</v>
          </cell>
          <cell r="B10">
            <v>292</v>
          </cell>
          <cell r="C10">
            <v>99</v>
          </cell>
          <cell r="D10" t="str">
            <v>215/60 R17</v>
          </cell>
          <cell r="E10">
            <v>96</v>
          </cell>
          <cell r="F10" t="str">
            <v>H</v>
          </cell>
          <cell r="G10" t="str">
            <v>ECOCONTACT 6 Q PSA</v>
          </cell>
          <cell r="H10">
            <v>312007</v>
          </cell>
          <cell r="I10">
            <v>52290</v>
          </cell>
          <cell r="J10">
            <v>25</v>
          </cell>
          <cell r="K10" t="str">
            <v>P1</v>
          </cell>
          <cell r="L10" t="str">
            <v>YA</v>
          </cell>
          <cell r="M10" t="str">
            <v>Y</v>
          </cell>
          <cell r="N10" t="str">
            <v>A</v>
          </cell>
          <cell r="O10" t="str">
            <v/>
          </cell>
          <cell r="P10" t="str">
            <v/>
          </cell>
          <cell r="Q10" t="str">
            <v/>
          </cell>
          <cell r="R10" t="str">
            <v>-</v>
          </cell>
        </row>
        <row r="11">
          <cell r="A11">
            <v>312103</v>
          </cell>
          <cell r="B11">
            <v>643</v>
          </cell>
          <cell r="C11">
            <v>6107</v>
          </cell>
          <cell r="D11" t="str">
            <v>225/55 R19</v>
          </cell>
          <cell r="E11">
            <v>103</v>
          </cell>
          <cell r="F11" t="str">
            <v>V</v>
          </cell>
          <cell r="G11" t="str">
            <v>PC6 FORD XL</v>
          </cell>
          <cell r="H11">
            <v>312103</v>
          </cell>
          <cell r="I11">
            <v>52643</v>
          </cell>
          <cell r="J11">
            <v>12</v>
          </cell>
          <cell r="K11" t="str">
            <v>P4</v>
          </cell>
          <cell r="L11" t="str">
            <v>RRRWW</v>
          </cell>
          <cell r="M11" t="str">
            <v>R</v>
          </cell>
          <cell r="N11" t="str">
            <v>R</v>
          </cell>
          <cell r="O11" t="str">
            <v>R</v>
          </cell>
          <cell r="P11" t="str">
            <v>W</v>
          </cell>
          <cell r="Q11" t="str">
            <v>W</v>
          </cell>
          <cell r="R11" t="str">
            <v>PR-1HH</v>
          </cell>
        </row>
        <row r="12">
          <cell r="A12">
            <v>312313</v>
          </cell>
          <cell r="B12">
            <v>314</v>
          </cell>
          <cell r="C12">
            <v>2074</v>
          </cell>
          <cell r="D12" t="str">
            <v>175/55 R15</v>
          </cell>
          <cell r="E12">
            <v>77</v>
          </cell>
          <cell r="F12" t="str">
            <v>T</v>
          </cell>
          <cell r="G12" t="str">
            <v>ULTRACONTACT</v>
          </cell>
          <cell r="H12">
            <v>312313</v>
          </cell>
          <cell r="I12">
            <v>52314</v>
          </cell>
          <cell r="J12">
            <v>0</v>
          </cell>
          <cell r="K12" t="str">
            <v>P8</v>
          </cell>
          <cell r="L12" t="str">
            <v>AGRA</v>
          </cell>
          <cell r="M12" t="str">
            <v>A</v>
          </cell>
          <cell r="N12" t="str">
            <v>G</v>
          </cell>
          <cell r="O12" t="str">
            <v>R</v>
          </cell>
          <cell r="P12" t="str">
            <v>A</v>
          </cell>
          <cell r="Q12" t="str">
            <v/>
          </cell>
          <cell r="R12" t="str">
            <v>-</v>
          </cell>
        </row>
        <row r="13">
          <cell r="A13">
            <v>312324</v>
          </cell>
          <cell r="B13">
            <v>982</v>
          </cell>
          <cell r="C13">
            <v>6059</v>
          </cell>
          <cell r="D13" t="str">
            <v>185/60 R15</v>
          </cell>
          <cell r="E13">
            <v>84</v>
          </cell>
          <cell r="F13" t="str">
            <v>T</v>
          </cell>
          <cell r="G13" t="str">
            <v>ULTRACONTACT</v>
          </cell>
          <cell r="H13">
            <v>312324</v>
          </cell>
          <cell r="I13">
            <v>52892</v>
          </cell>
          <cell r="J13">
            <v>0</v>
          </cell>
          <cell r="K13" t="str">
            <v>P1</v>
          </cell>
          <cell r="L13" t="str">
            <v>ROGYW</v>
          </cell>
          <cell r="M13" t="str">
            <v>R</v>
          </cell>
          <cell r="N13" t="str">
            <v>O</v>
          </cell>
          <cell r="O13" t="str">
            <v>G</v>
          </cell>
          <cell r="P13" t="str">
            <v>Y</v>
          </cell>
          <cell r="Q13" t="str">
            <v>W</v>
          </cell>
          <cell r="R13" t="str">
            <v>-</v>
          </cell>
        </row>
        <row r="14">
          <cell r="A14">
            <v>312325</v>
          </cell>
          <cell r="B14">
            <v>992</v>
          </cell>
          <cell r="C14">
            <v>6259</v>
          </cell>
          <cell r="D14" t="str">
            <v>185/60 R15</v>
          </cell>
          <cell r="E14">
            <v>84</v>
          </cell>
          <cell r="F14" t="str">
            <v>H</v>
          </cell>
          <cell r="G14" t="str">
            <v>ULTRACONTACT</v>
          </cell>
          <cell r="H14">
            <v>312325</v>
          </cell>
          <cell r="I14">
            <v>52893</v>
          </cell>
          <cell r="J14">
            <v>0</v>
          </cell>
          <cell r="K14" t="str">
            <v>P1</v>
          </cell>
          <cell r="L14" t="str">
            <v>RYWWO</v>
          </cell>
          <cell r="M14" t="str">
            <v>R</v>
          </cell>
          <cell r="N14" t="str">
            <v>Y</v>
          </cell>
          <cell r="O14" t="str">
            <v>W</v>
          </cell>
          <cell r="P14" t="str">
            <v>W</v>
          </cell>
          <cell r="Q14" t="str">
            <v>O</v>
          </cell>
          <cell r="R14" t="str">
            <v>-</v>
          </cell>
        </row>
        <row r="15">
          <cell r="A15">
            <v>312326</v>
          </cell>
          <cell r="B15">
            <v>94</v>
          </cell>
          <cell r="C15">
            <v>6159</v>
          </cell>
          <cell r="D15" t="str">
            <v>185/60 R15</v>
          </cell>
          <cell r="E15">
            <v>88</v>
          </cell>
          <cell r="F15" t="str">
            <v>H</v>
          </cell>
          <cell r="G15" t="str">
            <v>ULTRACONTACT XL</v>
          </cell>
          <cell r="H15">
            <v>312326</v>
          </cell>
          <cell r="I15">
            <v>52894</v>
          </cell>
          <cell r="J15">
            <v>0</v>
          </cell>
          <cell r="K15" t="str">
            <v>P1</v>
          </cell>
          <cell r="L15" t="str">
            <v>WOAGR</v>
          </cell>
          <cell r="M15" t="str">
            <v>W</v>
          </cell>
          <cell r="N15" t="str">
            <v>O</v>
          </cell>
          <cell r="O15" t="str">
            <v>A</v>
          </cell>
          <cell r="P15" t="str">
            <v>G</v>
          </cell>
          <cell r="Q15" t="str">
            <v>R</v>
          </cell>
          <cell r="R15" t="str">
            <v>-</v>
          </cell>
        </row>
        <row r="16">
          <cell r="A16">
            <v>312332</v>
          </cell>
          <cell r="B16">
            <v>313</v>
          </cell>
          <cell r="C16">
            <v>6064</v>
          </cell>
          <cell r="D16" t="str">
            <v>195/45 R16</v>
          </cell>
          <cell r="E16">
            <v>84</v>
          </cell>
          <cell r="F16" t="str">
            <v>V</v>
          </cell>
          <cell r="G16" t="str">
            <v>ULTRACONTACT XL</v>
          </cell>
          <cell r="H16">
            <v>312332</v>
          </cell>
          <cell r="I16">
            <v>52313</v>
          </cell>
          <cell r="J16">
            <v>0</v>
          </cell>
          <cell r="K16" t="str">
            <v>P1</v>
          </cell>
          <cell r="L16" t="str">
            <v>WOGAR</v>
          </cell>
          <cell r="M16" t="str">
            <v>W</v>
          </cell>
          <cell r="N16" t="str">
            <v>O</v>
          </cell>
          <cell r="O16" t="str">
            <v>G</v>
          </cell>
          <cell r="P16" t="str">
            <v>A</v>
          </cell>
          <cell r="Q16" t="str">
            <v>R</v>
          </cell>
          <cell r="R16" t="str">
            <v>-</v>
          </cell>
        </row>
        <row r="17">
          <cell r="A17">
            <v>312337</v>
          </cell>
          <cell r="B17">
            <v>693</v>
          </cell>
          <cell r="C17">
            <v>6056</v>
          </cell>
          <cell r="D17" t="str">
            <v>195/55 R15</v>
          </cell>
          <cell r="E17">
            <v>85</v>
          </cell>
          <cell r="F17" t="str">
            <v>H</v>
          </cell>
          <cell r="G17" t="str">
            <v>ULTRACONTACT</v>
          </cell>
          <cell r="H17">
            <v>312337</v>
          </cell>
          <cell r="I17">
            <v>52693</v>
          </cell>
          <cell r="J17">
            <v>0</v>
          </cell>
          <cell r="K17" t="str">
            <v>P8</v>
          </cell>
          <cell r="L17" t="str">
            <v>OOYGR</v>
          </cell>
          <cell r="M17" t="str">
            <v>O</v>
          </cell>
          <cell r="N17" t="str">
            <v>O</v>
          </cell>
          <cell r="O17" t="str">
            <v>Y</v>
          </cell>
          <cell r="P17" t="str">
            <v>G</v>
          </cell>
          <cell r="Q17" t="str">
            <v>R</v>
          </cell>
          <cell r="R17" t="str">
            <v>-</v>
          </cell>
        </row>
        <row r="18">
          <cell r="A18">
            <v>312338</v>
          </cell>
          <cell r="B18">
            <v>695</v>
          </cell>
          <cell r="C18">
            <v>6156</v>
          </cell>
          <cell r="D18" t="str">
            <v>195/55 R15</v>
          </cell>
          <cell r="E18">
            <v>85</v>
          </cell>
          <cell r="F18" t="str">
            <v>V</v>
          </cell>
          <cell r="G18" t="str">
            <v>ULTRACONTACT</v>
          </cell>
          <cell r="H18">
            <v>312338</v>
          </cell>
          <cell r="I18">
            <v>52695</v>
          </cell>
          <cell r="J18">
            <v>0</v>
          </cell>
          <cell r="K18" t="str">
            <v>P8</v>
          </cell>
          <cell r="L18" t="str">
            <v>YAGRW</v>
          </cell>
          <cell r="M18" t="str">
            <v>Y</v>
          </cell>
          <cell r="N18" t="str">
            <v>A</v>
          </cell>
          <cell r="O18" t="str">
            <v>G</v>
          </cell>
          <cell r="P18" t="str">
            <v>R</v>
          </cell>
          <cell r="Q18" t="str">
            <v>W</v>
          </cell>
          <cell r="R18" t="str">
            <v>-</v>
          </cell>
        </row>
        <row r="19">
          <cell r="A19">
            <v>312339</v>
          </cell>
          <cell r="B19">
            <v>646</v>
          </cell>
          <cell r="C19">
            <v>5006</v>
          </cell>
          <cell r="D19" t="str">
            <v>195/55 R16</v>
          </cell>
          <cell r="E19">
            <v>87</v>
          </cell>
          <cell r="F19" t="str">
            <v>T</v>
          </cell>
          <cell r="G19" t="str">
            <v>ULTRACONTACT</v>
          </cell>
          <cell r="H19">
            <v>312339</v>
          </cell>
          <cell r="I19">
            <v>52745</v>
          </cell>
          <cell r="J19">
            <v>0</v>
          </cell>
          <cell r="K19" t="str">
            <v>P8</v>
          </cell>
          <cell r="L19" t="str">
            <v>AORR</v>
          </cell>
          <cell r="M19" t="str">
            <v>A</v>
          </cell>
          <cell r="N19" t="str">
            <v>O</v>
          </cell>
          <cell r="O19" t="str">
            <v>R</v>
          </cell>
          <cell r="P19" t="str">
            <v>R</v>
          </cell>
          <cell r="Q19" t="str">
            <v/>
          </cell>
          <cell r="R19" t="str">
            <v>-</v>
          </cell>
        </row>
        <row r="20">
          <cell r="A20">
            <v>312340</v>
          </cell>
          <cell r="B20">
            <v>948</v>
          </cell>
          <cell r="C20">
            <v>5106</v>
          </cell>
          <cell r="D20" t="str">
            <v>195/55 R16</v>
          </cell>
          <cell r="E20">
            <v>87</v>
          </cell>
          <cell r="F20" t="str">
            <v>H</v>
          </cell>
          <cell r="G20" t="str">
            <v>ULTRACONTACT</v>
          </cell>
          <cell r="H20">
            <v>312340</v>
          </cell>
          <cell r="I20">
            <v>52848</v>
          </cell>
          <cell r="J20">
            <v>0</v>
          </cell>
          <cell r="K20" t="str">
            <v>P8</v>
          </cell>
          <cell r="L20" t="str">
            <v>GGYY</v>
          </cell>
          <cell r="M20" t="str">
            <v>G</v>
          </cell>
          <cell r="N20" t="str">
            <v>G</v>
          </cell>
          <cell r="O20" t="str">
            <v>Y</v>
          </cell>
          <cell r="P20" t="str">
            <v>Y</v>
          </cell>
          <cell r="Q20" t="str">
            <v/>
          </cell>
          <cell r="R20" t="str">
            <v>-</v>
          </cell>
        </row>
        <row r="21">
          <cell r="A21">
            <v>312341</v>
          </cell>
          <cell r="B21">
            <v>298</v>
          </cell>
          <cell r="C21">
            <v>5206</v>
          </cell>
          <cell r="D21" t="str">
            <v>195/55 R16</v>
          </cell>
          <cell r="E21">
            <v>87</v>
          </cell>
          <cell r="F21" t="str">
            <v>V</v>
          </cell>
          <cell r="G21" t="str">
            <v>ULTRACONTACT</v>
          </cell>
          <cell r="H21">
            <v>312341</v>
          </cell>
          <cell r="I21">
            <v>52397</v>
          </cell>
          <cell r="J21">
            <v>0</v>
          </cell>
          <cell r="K21" t="str">
            <v>P8</v>
          </cell>
          <cell r="L21" t="str">
            <v>GRRG</v>
          </cell>
          <cell r="M21" t="str">
            <v>G</v>
          </cell>
          <cell r="N21" t="str">
            <v>R</v>
          </cell>
          <cell r="O21" t="str">
            <v>R</v>
          </cell>
          <cell r="P21" t="str">
            <v>G</v>
          </cell>
          <cell r="Q21" t="str">
            <v/>
          </cell>
          <cell r="R21" t="str">
            <v>-</v>
          </cell>
        </row>
        <row r="22">
          <cell r="A22">
            <v>312342</v>
          </cell>
          <cell r="B22">
            <v>397</v>
          </cell>
          <cell r="C22">
            <v>5306</v>
          </cell>
          <cell r="D22" t="str">
            <v>195/55 R16</v>
          </cell>
          <cell r="E22">
            <v>91</v>
          </cell>
          <cell r="F22" t="str">
            <v>T</v>
          </cell>
          <cell r="G22" t="str">
            <v>ULTRACONTACT XL</v>
          </cell>
          <cell r="H22">
            <v>312342</v>
          </cell>
          <cell r="I22">
            <v>52387</v>
          </cell>
          <cell r="J22">
            <v>0</v>
          </cell>
          <cell r="K22" t="str">
            <v>P8</v>
          </cell>
          <cell r="L22" t="str">
            <v>WOYY</v>
          </cell>
          <cell r="M22" t="str">
            <v>W</v>
          </cell>
          <cell r="N22" t="str">
            <v>O</v>
          </cell>
          <cell r="O22" t="str">
            <v>Y</v>
          </cell>
          <cell r="P22" t="str">
            <v>Y</v>
          </cell>
          <cell r="Q22" t="str">
            <v/>
          </cell>
          <cell r="R22" t="str">
            <v>-</v>
          </cell>
        </row>
        <row r="23">
          <cell r="A23">
            <v>312343</v>
          </cell>
          <cell r="B23">
            <v>404</v>
          </cell>
          <cell r="C23">
            <v>5406</v>
          </cell>
          <cell r="D23" t="str">
            <v>195/55 R16</v>
          </cell>
          <cell r="E23">
            <v>91</v>
          </cell>
          <cell r="F23" t="str">
            <v>V</v>
          </cell>
          <cell r="G23" t="str">
            <v>ULTRACONTACT XL</v>
          </cell>
          <cell r="H23">
            <v>312343</v>
          </cell>
          <cell r="I23">
            <v>52415</v>
          </cell>
          <cell r="J23">
            <v>0</v>
          </cell>
          <cell r="K23" t="str">
            <v>P8</v>
          </cell>
          <cell r="L23" t="str">
            <v>YAOA</v>
          </cell>
          <cell r="M23" t="str">
            <v>Y</v>
          </cell>
          <cell r="N23" t="str">
            <v>A</v>
          </cell>
          <cell r="O23" t="str">
            <v>O</v>
          </cell>
          <cell r="P23" t="str">
            <v>A</v>
          </cell>
          <cell r="Q23" t="str">
            <v/>
          </cell>
          <cell r="R23" t="str">
            <v>-</v>
          </cell>
        </row>
        <row r="24">
          <cell r="A24">
            <v>312351</v>
          </cell>
          <cell r="B24">
            <v>80</v>
          </cell>
          <cell r="C24">
            <v>58058</v>
          </cell>
          <cell r="D24" t="str">
            <v>205/40 R17</v>
          </cell>
          <cell r="E24">
            <v>84</v>
          </cell>
          <cell r="F24" t="str">
            <v>V</v>
          </cell>
          <cell r="G24" t="str">
            <v>ULTRACONTACT XL</v>
          </cell>
          <cell r="H24">
            <v>312351</v>
          </cell>
          <cell r="I24">
            <v>52081</v>
          </cell>
          <cell r="J24">
            <v>0</v>
          </cell>
          <cell r="K24" t="str">
            <v>P4</v>
          </cell>
          <cell r="L24" t="str">
            <v>RRG</v>
          </cell>
          <cell r="M24" t="str">
            <v>R</v>
          </cell>
          <cell r="N24" t="str">
            <v>R</v>
          </cell>
          <cell r="O24" t="str">
            <v>G</v>
          </cell>
          <cell r="P24" t="str">
            <v/>
          </cell>
          <cell r="Q24" t="str">
            <v/>
          </cell>
          <cell r="R24" t="str">
            <v>-</v>
          </cell>
        </row>
        <row r="25">
          <cell r="A25">
            <v>312352</v>
          </cell>
          <cell r="B25">
            <v>335</v>
          </cell>
          <cell r="C25">
            <v>58158</v>
          </cell>
          <cell r="D25" t="str">
            <v>205/40 R17</v>
          </cell>
          <cell r="E25">
            <v>84</v>
          </cell>
          <cell r="F25" t="str">
            <v>W</v>
          </cell>
          <cell r="G25" t="str">
            <v>ULTRACONTACT XL</v>
          </cell>
          <cell r="H25">
            <v>312352</v>
          </cell>
          <cell r="I25">
            <v>52235</v>
          </cell>
          <cell r="J25">
            <v>0</v>
          </cell>
          <cell r="K25" t="str">
            <v>P4</v>
          </cell>
          <cell r="L25" t="str">
            <v>RYA</v>
          </cell>
          <cell r="M25" t="str">
            <v>R</v>
          </cell>
          <cell r="N25" t="str">
            <v>Y</v>
          </cell>
          <cell r="O25" t="str">
            <v>A</v>
          </cell>
          <cell r="P25" t="str">
            <v/>
          </cell>
          <cell r="Q25" t="str">
            <v/>
          </cell>
          <cell r="R25" t="str">
            <v>-</v>
          </cell>
        </row>
        <row r="26">
          <cell r="A26">
            <v>312353</v>
          </cell>
          <cell r="B26">
            <v>576</v>
          </cell>
          <cell r="C26">
            <v>161</v>
          </cell>
          <cell r="D26" t="str">
            <v>205/45 R17</v>
          </cell>
          <cell r="E26">
            <v>88</v>
          </cell>
          <cell r="F26" t="str">
            <v>V</v>
          </cell>
          <cell r="G26" t="str">
            <v>ULTRACONTACT XL</v>
          </cell>
          <cell r="H26">
            <v>312353</v>
          </cell>
          <cell r="I26">
            <v>52579</v>
          </cell>
          <cell r="J26">
            <v>0</v>
          </cell>
          <cell r="K26" t="str">
            <v>P4</v>
          </cell>
          <cell r="L26" t="str">
            <v>OOG</v>
          </cell>
          <cell r="M26" t="str">
            <v>O</v>
          </cell>
          <cell r="N26" t="str">
            <v>O</v>
          </cell>
          <cell r="O26" t="str">
            <v>G</v>
          </cell>
          <cell r="P26" t="str">
            <v/>
          </cell>
          <cell r="Q26" t="str">
            <v/>
          </cell>
          <cell r="R26" t="str">
            <v>-</v>
          </cell>
        </row>
        <row r="27">
          <cell r="A27">
            <v>312354</v>
          </cell>
          <cell r="B27">
            <v>578</v>
          </cell>
          <cell r="C27">
            <v>61</v>
          </cell>
          <cell r="D27" t="str">
            <v>205/45 R17</v>
          </cell>
          <cell r="E27">
            <v>88</v>
          </cell>
          <cell r="F27" t="str">
            <v>W</v>
          </cell>
          <cell r="G27" t="str">
            <v>ULTRACONTACT XL</v>
          </cell>
          <cell r="H27">
            <v>312354</v>
          </cell>
          <cell r="I27">
            <v>52578</v>
          </cell>
          <cell r="J27">
            <v>0</v>
          </cell>
          <cell r="K27" t="str">
            <v>P4</v>
          </cell>
          <cell r="L27" t="str">
            <v>AGY</v>
          </cell>
          <cell r="M27" t="str">
            <v>A</v>
          </cell>
          <cell r="N27" t="str">
            <v>G</v>
          </cell>
          <cell r="O27" t="str">
            <v>Y</v>
          </cell>
          <cell r="P27" t="str">
            <v/>
          </cell>
          <cell r="Q27" t="str">
            <v/>
          </cell>
          <cell r="R27" t="str">
            <v>-</v>
          </cell>
        </row>
        <row r="28">
          <cell r="A28">
            <v>312355</v>
          </cell>
          <cell r="B28">
            <v>72</v>
          </cell>
          <cell r="C28">
            <v>87</v>
          </cell>
          <cell r="D28" t="str">
            <v>205/50 R17</v>
          </cell>
          <cell r="E28">
            <v>89</v>
          </cell>
          <cell r="F28" t="str">
            <v>V</v>
          </cell>
          <cell r="G28" t="str">
            <v>ULTRACONTACT</v>
          </cell>
          <cell r="H28">
            <v>312355</v>
          </cell>
          <cell r="I28">
            <v>52074</v>
          </cell>
          <cell r="J28">
            <v>0</v>
          </cell>
          <cell r="K28" t="str">
            <v>P4</v>
          </cell>
          <cell r="L28" t="str">
            <v>AY</v>
          </cell>
          <cell r="M28" t="str">
            <v>A</v>
          </cell>
          <cell r="N28" t="str">
            <v>Y</v>
          </cell>
          <cell r="O28" t="str">
            <v/>
          </cell>
          <cell r="P28" t="str">
            <v/>
          </cell>
          <cell r="Q28" t="str">
            <v/>
          </cell>
          <cell r="R28" t="str">
            <v>-</v>
          </cell>
        </row>
        <row r="29">
          <cell r="A29">
            <v>312356</v>
          </cell>
          <cell r="B29">
            <v>71</v>
          </cell>
          <cell r="C29">
            <v>187</v>
          </cell>
          <cell r="D29" t="str">
            <v>205/50 R17</v>
          </cell>
          <cell r="E29">
            <v>93</v>
          </cell>
          <cell r="F29" t="str">
            <v>W</v>
          </cell>
          <cell r="G29" t="str">
            <v>ULTRACONTACT XL</v>
          </cell>
          <cell r="H29">
            <v>312356</v>
          </cell>
          <cell r="I29">
            <v>52076</v>
          </cell>
          <cell r="J29">
            <v>0</v>
          </cell>
          <cell r="K29" t="str">
            <v>P4</v>
          </cell>
          <cell r="L29" t="str">
            <v>AGR</v>
          </cell>
          <cell r="M29" t="str">
            <v>A</v>
          </cell>
          <cell r="N29" t="str">
            <v>G</v>
          </cell>
          <cell r="O29" t="str">
            <v>R</v>
          </cell>
          <cell r="P29" t="str">
            <v/>
          </cell>
          <cell r="Q29" t="str">
            <v/>
          </cell>
          <cell r="R29" t="str">
            <v>-</v>
          </cell>
        </row>
        <row r="30">
          <cell r="A30">
            <v>312357</v>
          </cell>
          <cell r="B30">
            <v>289</v>
          </cell>
          <cell r="C30">
            <v>6154</v>
          </cell>
          <cell r="D30" t="str">
            <v>205/55 R16</v>
          </cell>
          <cell r="E30">
            <v>91</v>
          </cell>
          <cell r="F30" t="str">
            <v>H</v>
          </cell>
          <cell r="G30" t="str">
            <v>ULTRACONTACT</v>
          </cell>
          <cell r="H30">
            <v>312357</v>
          </cell>
          <cell r="I30">
            <v>52280</v>
          </cell>
          <cell r="J30">
            <v>0</v>
          </cell>
          <cell r="K30" t="str">
            <v>P4</v>
          </cell>
          <cell r="L30" t="str">
            <v>WGRWR</v>
          </cell>
          <cell r="M30" t="str">
            <v>W</v>
          </cell>
          <cell r="N30" t="str">
            <v>G</v>
          </cell>
          <cell r="O30" t="str">
            <v>R</v>
          </cell>
          <cell r="P30" t="str">
            <v>W</v>
          </cell>
          <cell r="Q30" t="str">
            <v>R</v>
          </cell>
          <cell r="R30" t="str">
            <v>-</v>
          </cell>
        </row>
        <row r="31">
          <cell r="A31">
            <v>312358</v>
          </cell>
          <cell r="B31">
            <v>968</v>
          </cell>
          <cell r="C31">
            <v>6254</v>
          </cell>
          <cell r="D31" t="str">
            <v>205/55 R16</v>
          </cell>
          <cell r="E31">
            <v>91</v>
          </cell>
          <cell r="F31" t="str">
            <v>V</v>
          </cell>
          <cell r="G31" t="str">
            <v>ULTRACONTACT</v>
          </cell>
          <cell r="H31">
            <v>312358</v>
          </cell>
          <cell r="I31">
            <v>52268</v>
          </cell>
          <cell r="J31">
            <v>0</v>
          </cell>
          <cell r="K31" t="str">
            <v>P4</v>
          </cell>
          <cell r="L31" t="str">
            <v>OOOOO</v>
          </cell>
          <cell r="M31" t="str">
            <v>O</v>
          </cell>
          <cell r="N31" t="str">
            <v>O</v>
          </cell>
          <cell r="O31" t="str">
            <v>O</v>
          </cell>
          <cell r="P31" t="str">
            <v>O</v>
          </cell>
          <cell r="Q31" t="str">
            <v>O</v>
          </cell>
          <cell r="R31" t="str">
            <v>-</v>
          </cell>
        </row>
        <row r="32">
          <cell r="A32">
            <v>312359</v>
          </cell>
          <cell r="B32">
            <v>60</v>
          </cell>
          <cell r="C32">
            <v>6354</v>
          </cell>
          <cell r="D32" t="str">
            <v>205/55 R16</v>
          </cell>
          <cell r="E32">
            <v>91</v>
          </cell>
          <cell r="F32" t="str">
            <v>W</v>
          </cell>
          <cell r="G32" t="str">
            <v>ULTRACONTACT</v>
          </cell>
          <cell r="H32">
            <v>312359</v>
          </cell>
          <cell r="I32">
            <v>52060</v>
          </cell>
          <cell r="J32">
            <v>0</v>
          </cell>
          <cell r="K32" t="str">
            <v>P4</v>
          </cell>
          <cell r="L32" t="str">
            <v>WAW</v>
          </cell>
          <cell r="M32" t="str">
            <v>W</v>
          </cell>
          <cell r="N32" t="str">
            <v>A</v>
          </cell>
          <cell r="O32" t="str">
            <v>W</v>
          </cell>
          <cell r="P32" t="str">
            <v/>
          </cell>
          <cell r="Q32" t="str">
            <v/>
          </cell>
          <cell r="R32" t="str">
            <v>-</v>
          </cell>
        </row>
        <row r="33">
          <cell r="A33">
            <v>312363</v>
          </cell>
          <cell r="B33">
            <v>747</v>
          </cell>
          <cell r="C33">
            <v>104</v>
          </cell>
          <cell r="D33" t="str">
            <v>205/60 R16</v>
          </cell>
          <cell r="E33">
            <v>92</v>
          </cell>
          <cell r="F33" t="str">
            <v>H</v>
          </cell>
          <cell r="G33" t="str">
            <v>ULTRACONTACT</v>
          </cell>
          <cell r="H33">
            <v>312363</v>
          </cell>
          <cell r="I33">
            <v>52737</v>
          </cell>
          <cell r="J33">
            <v>0</v>
          </cell>
          <cell r="K33" t="str">
            <v>P4</v>
          </cell>
          <cell r="L33" t="str">
            <v>YWAR</v>
          </cell>
          <cell r="M33" t="str">
            <v>Y</v>
          </cell>
          <cell r="N33" t="str">
            <v>W</v>
          </cell>
          <cell r="O33" t="str">
            <v>A</v>
          </cell>
          <cell r="P33" t="str">
            <v>R</v>
          </cell>
          <cell r="Q33" t="str">
            <v/>
          </cell>
          <cell r="R33" t="str">
            <v>-</v>
          </cell>
        </row>
        <row r="34">
          <cell r="A34">
            <v>312364</v>
          </cell>
          <cell r="B34">
            <v>729</v>
          </cell>
          <cell r="C34">
            <v>204</v>
          </cell>
          <cell r="D34" t="str">
            <v>205/60 R16</v>
          </cell>
          <cell r="E34">
            <v>96</v>
          </cell>
          <cell r="F34" t="str">
            <v>H</v>
          </cell>
          <cell r="G34" t="str">
            <v>ULTRACONTACT XL</v>
          </cell>
          <cell r="H34">
            <v>312364</v>
          </cell>
          <cell r="I34">
            <v>52739</v>
          </cell>
          <cell r="J34">
            <v>0</v>
          </cell>
          <cell r="K34" t="str">
            <v>P4</v>
          </cell>
          <cell r="L34" t="str">
            <v>YRYA</v>
          </cell>
          <cell r="M34" t="str">
            <v>Y</v>
          </cell>
          <cell r="N34" t="str">
            <v>R</v>
          </cell>
          <cell r="O34" t="str">
            <v>Y</v>
          </cell>
          <cell r="P34" t="str">
            <v>A</v>
          </cell>
          <cell r="Q34" t="str">
            <v/>
          </cell>
          <cell r="R34" t="str">
            <v>-</v>
          </cell>
        </row>
        <row r="35">
          <cell r="A35">
            <v>312372</v>
          </cell>
          <cell r="B35">
            <v>599</v>
          </cell>
          <cell r="C35">
            <v>3019</v>
          </cell>
          <cell r="D35" t="str">
            <v>215/50 R17</v>
          </cell>
          <cell r="E35">
            <v>95</v>
          </cell>
          <cell r="F35" t="str">
            <v>W</v>
          </cell>
          <cell r="G35" t="str">
            <v>ULTRACONTACT XL</v>
          </cell>
          <cell r="H35">
            <v>312372</v>
          </cell>
          <cell r="I35">
            <v>52599</v>
          </cell>
          <cell r="J35">
            <v>0</v>
          </cell>
          <cell r="K35" t="str">
            <v>P4</v>
          </cell>
          <cell r="L35" t="str">
            <v>YYYRR</v>
          </cell>
          <cell r="M35" t="str">
            <v>Y</v>
          </cell>
          <cell r="N35" t="str">
            <v>Y</v>
          </cell>
          <cell r="O35" t="str">
            <v>Y</v>
          </cell>
          <cell r="P35" t="str">
            <v>R</v>
          </cell>
          <cell r="Q35" t="str">
            <v>R</v>
          </cell>
          <cell r="R35" t="str">
            <v>-</v>
          </cell>
        </row>
        <row r="36">
          <cell r="A36">
            <v>312376</v>
          </cell>
          <cell r="B36">
            <v>73</v>
          </cell>
          <cell r="C36">
            <v>6090</v>
          </cell>
          <cell r="D36" t="str">
            <v>215/55 R17</v>
          </cell>
          <cell r="E36">
            <v>94</v>
          </cell>
          <cell r="F36" t="str">
            <v>W</v>
          </cell>
          <cell r="G36" t="str">
            <v>ULTRACONTACT</v>
          </cell>
          <cell r="H36">
            <v>312376</v>
          </cell>
          <cell r="I36">
            <v>52073</v>
          </cell>
          <cell r="J36">
            <v>0</v>
          </cell>
          <cell r="K36" t="str">
            <v>P4</v>
          </cell>
          <cell r="L36" t="str">
            <v>AAYAW</v>
          </cell>
          <cell r="M36" t="str">
            <v>A</v>
          </cell>
          <cell r="N36" t="str">
            <v>A</v>
          </cell>
          <cell r="O36" t="str">
            <v>Y</v>
          </cell>
          <cell r="P36" t="str">
            <v>A</v>
          </cell>
          <cell r="Q36" t="str">
            <v>W</v>
          </cell>
          <cell r="R36" t="str">
            <v>-</v>
          </cell>
        </row>
        <row r="37">
          <cell r="A37">
            <v>312377</v>
          </cell>
          <cell r="B37" t="str">
            <v>-</v>
          </cell>
          <cell r="C37">
            <v>98</v>
          </cell>
          <cell r="D37" t="str">
            <v>215/55 R17</v>
          </cell>
          <cell r="E37">
            <v>94</v>
          </cell>
          <cell r="F37" t="str">
            <v>W</v>
          </cell>
          <cell r="G37" t="str">
            <v>ULTRACONTACT</v>
          </cell>
          <cell r="H37">
            <v>312377</v>
          </cell>
          <cell r="I37">
            <v>52614</v>
          </cell>
          <cell r="J37">
            <v>0</v>
          </cell>
          <cell r="K37" t="str">
            <v>P4</v>
          </cell>
          <cell r="L37" t="str">
            <v>RRRAA</v>
          </cell>
          <cell r="M37" t="str">
            <v>R</v>
          </cell>
          <cell r="N37" t="str">
            <v>R</v>
          </cell>
          <cell r="O37" t="str">
            <v>R</v>
          </cell>
          <cell r="P37" t="str">
            <v>A</v>
          </cell>
          <cell r="Q37" t="str">
            <v>A</v>
          </cell>
          <cell r="R37" t="str">
            <v>-</v>
          </cell>
        </row>
        <row r="38">
          <cell r="A38">
            <v>312382</v>
          </cell>
          <cell r="B38">
            <v>97</v>
          </cell>
          <cell r="C38">
            <v>3007</v>
          </cell>
          <cell r="D38" t="str">
            <v>215/65 R16</v>
          </cell>
          <cell r="E38">
            <v>98</v>
          </cell>
          <cell r="F38" t="str">
            <v>H</v>
          </cell>
          <cell r="G38" t="str">
            <v>ULTRACONTACT</v>
          </cell>
          <cell r="H38">
            <v>312382</v>
          </cell>
          <cell r="I38">
            <v>52083</v>
          </cell>
          <cell r="J38">
            <v>0</v>
          </cell>
          <cell r="K38" t="str">
            <v>P5</v>
          </cell>
          <cell r="L38" t="str">
            <v>YYYWG</v>
          </cell>
          <cell r="M38" t="str">
            <v>Y</v>
          </cell>
          <cell r="N38" t="str">
            <v>Y</v>
          </cell>
          <cell r="O38" t="str">
            <v>Y</v>
          </cell>
          <cell r="P38" t="str">
            <v>W</v>
          </cell>
          <cell r="Q38" t="str">
            <v>G</v>
          </cell>
          <cell r="R38" t="str">
            <v>-</v>
          </cell>
        </row>
        <row r="39">
          <cell r="A39">
            <v>312384</v>
          </cell>
          <cell r="B39">
            <v>117</v>
          </cell>
          <cell r="C39">
            <v>2018</v>
          </cell>
          <cell r="D39" t="str">
            <v>225/45 R17</v>
          </cell>
          <cell r="E39">
            <v>91</v>
          </cell>
          <cell r="F39" t="str">
            <v>V</v>
          </cell>
          <cell r="G39" t="str">
            <v>ULTRACONTACT</v>
          </cell>
          <cell r="H39">
            <v>312384</v>
          </cell>
          <cell r="I39">
            <v>52117</v>
          </cell>
          <cell r="J39">
            <v>0</v>
          </cell>
          <cell r="K39" t="str">
            <v>P4</v>
          </cell>
          <cell r="L39" t="str">
            <v>AOWW</v>
          </cell>
          <cell r="M39" t="str">
            <v>A</v>
          </cell>
          <cell r="N39" t="str">
            <v>O</v>
          </cell>
          <cell r="O39" t="str">
            <v>W</v>
          </cell>
          <cell r="P39" t="str">
            <v>W</v>
          </cell>
          <cell r="Q39" t="str">
            <v/>
          </cell>
          <cell r="R39" t="str">
            <v>-</v>
          </cell>
        </row>
        <row r="40">
          <cell r="A40">
            <v>312385</v>
          </cell>
          <cell r="B40">
            <v>90</v>
          </cell>
          <cell r="C40">
            <v>2056</v>
          </cell>
          <cell r="D40" t="str">
            <v>225/45 R17</v>
          </cell>
          <cell r="E40">
            <v>91</v>
          </cell>
          <cell r="F40" t="str">
            <v>Y</v>
          </cell>
          <cell r="G40" t="str">
            <v>ULTRACONTACT</v>
          </cell>
          <cell r="H40">
            <v>312385</v>
          </cell>
          <cell r="I40">
            <v>52094</v>
          </cell>
          <cell r="J40">
            <v>0</v>
          </cell>
          <cell r="K40" t="str">
            <v>P4</v>
          </cell>
          <cell r="L40" t="str">
            <v>YYGG</v>
          </cell>
          <cell r="M40" t="str">
            <v>Y</v>
          </cell>
          <cell r="N40" t="str">
            <v>Y</v>
          </cell>
          <cell r="O40" t="str">
            <v>G</v>
          </cell>
          <cell r="P40" t="str">
            <v>G</v>
          </cell>
          <cell r="Q40" t="str">
            <v/>
          </cell>
          <cell r="R40" t="str">
            <v>-</v>
          </cell>
        </row>
        <row r="41">
          <cell r="A41">
            <v>312386</v>
          </cell>
          <cell r="B41">
            <v>71</v>
          </cell>
          <cell r="C41">
            <v>2156</v>
          </cell>
          <cell r="D41" t="str">
            <v>225/45 R17</v>
          </cell>
          <cell r="E41">
            <v>94</v>
          </cell>
          <cell r="F41" t="str">
            <v>W</v>
          </cell>
          <cell r="G41" t="str">
            <v>ULTRACONTACT XL</v>
          </cell>
          <cell r="H41">
            <v>312386</v>
          </cell>
          <cell r="I41">
            <v>52771</v>
          </cell>
          <cell r="J41">
            <v>0</v>
          </cell>
          <cell r="K41" t="str">
            <v>P4</v>
          </cell>
          <cell r="L41" t="str">
            <v>RROWW</v>
          </cell>
          <cell r="M41" t="str">
            <v>R</v>
          </cell>
          <cell r="N41" t="str">
            <v>R</v>
          </cell>
          <cell r="O41" t="str">
            <v>O</v>
          </cell>
          <cell r="P41" t="str">
            <v>W</v>
          </cell>
          <cell r="Q41" t="str">
            <v>W</v>
          </cell>
          <cell r="R41" t="str">
            <v>-</v>
          </cell>
        </row>
        <row r="42">
          <cell r="A42">
            <v>312390</v>
          </cell>
          <cell r="B42">
            <v>116</v>
          </cell>
          <cell r="C42">
            <v>5046</v>
          </cell>
          <cell r="D42" t="str">
            <v>225/55 R16</v>
          </cell>
          <cell r="E42">
            <v>95</v>
          </cell>
          <cell r="F42" t="str">
            <v>W</v>
          </cell>
          <cell r="G42" t="str">
            <v>ULTRACONTACT</v>
          </cell>
          <cell r="H42">
            <v>312390</v>
          </cell>
          <cell r="I42">
            <v>52216</v>
          </cell>
          <cell r="J42">
            <v>0</v>
          </cell>
          <cell r="K42" t="str">
            <v>P4</v>
          </cell>
          <cell r="L42" t="str">
            <v>GYG</v>
          </cell>
          <cell r="M42" t="str">
            <v>G</v>
          </cell>
          <cell r="N42" t="str">
            <v>Y</v>
          </cell>
          <cell r="O42" t="str">
            <v>G</v>
          </cell>
          <cell r="P42" t="str">
            <v/>
          </cell>
          <cell r="Q42" t="str">
            <v/>
          </cell>
          <cell r="R42" t="str">
            <v>-</v>
          </cell>
        </row>
        <row r="43">
          <cell r="A43">
            <v>312393</v>
          </cell>
          <cell r="B43" t="str">
            <v>-</v>
          </cell>
          <cell r="C43">
            <v>6290</v>
          </cell>
          <cell r="D43" t="str">
            <v>225/55 R18</v>
          </cell>
          <cell r="E43">
            <v>98</v>
          </cell>
          <cell r="F43" t="str">
            <v>V</v>
          </cell>
          <cell r="G43" t="str">
            <v>ULTRACONTACT</v>
          </cell>
          <cell r="H43">
            <v>312393</v>
          </cell>
          <cell r="I43">
            <v>52843</v>
          </cell>
          <cell r="J43">
            <v>0</v>
          </cell>
          <cell r="K43" t="str">
            <v>P4</v>
          </cell>
          <cell r="L43" t="str">
            <v>AGORR</v>
          </cell>
          <cell r="M43" t="str">
            <v>A</v>
          </cell>
          <cell r="N43" t="str">
            <v>G</v>
          </cell>
          <cell r="O43" t="str">
            <v>O</v>
          </cell>
          <cell r="P43" t="str">
            <v>R</v>
          </cell>
          <cell r="Q43" t="str">
            <v>R</v>
          </cell>
          <cell r="R43" t="str">
            <v>-</v>
          </cell>
        </row>
        <row r="44">
          <cell r="A44">
            <v>312406</v>
          </cell>
          <cell r="B44">
            <v>627</v>
          </cell>
          <cell r="C44">
            <v>3025</v>
          </cell>
          <cell r="D44" t="str">
            <v>235/55 R17</v>
          </cell>
          <cell r="E44">
            <v>99</v>
          </cell>
          <cell r="F44" t="str">
            <v>V</v>
          </cell>
          <cell r="G44" t="str">
            <v>ULTRACONTACT</v>
          </cell>
          <cell r="H44">
            <v>312406</v>
          </cell>
          <cell r="I44">
            <v>52625</v>
          </cell>
          <cell r="J44">
            <v>0</v>
          </cell>
          <cell r="K44" t="str">
            <v>P4</v>
          </cell>
          <cell r="L44" t="str">
            <v>AAWRR</v>
          </cell>
          <cell r="M44" t="str">
            <v>A</v>
          </cell>
          <cell r="N44" t="str">
            <v>A</v>
          </cell>
          <cell r="O44" t="str">
            <v>W</v>
          </cell>
          <cell r="P44" t="str">
            <v>R</v>
          </cell>
          <cell r="Q44" t="str">
            <v>R</v>
          </cell>
          <cell r="R44" t="str">
            <v>-</v>
          </cell>
        </row>
        <row r="45">
          <cell r="A45">
            <v>313033</v>
          </cell>
          <cell r="B45">
            <v>141</v>
          </cell>
          <cell r="C45">
            <v>58034</v>
          </cell>
          <cell r="D45" t="str">
            <v>205/45 R17</v>
          </cell>
          <cell r="E45">
            <v>88</v>
          </cell>
          <cell r="F45" t="str">
            <v>Y</v>
          </cell>
          <cell r="G45" t="str">
            <v>PC7 XL</v>
          </cell>
          <cell r="H45">
            <v>313033</v>
          </cell>
          <cell r="I45">
            <v>52148</v>
          </cell>
          <cell r="J45">
            <v>0</v>
          </cell>
          <cell r="K45" t="str">
            <v>P1</v>
          </cell>
          <cell r="L45" t="str">
            <v>ARY</v>
          </cell>
          <cell r="M45" t="str">
            <v>A</v>
          </cell>
          <cell r="N45" t="str">
            <v>R</v>
          </cell>
          <cell r="O45" t="str">
            <v>Y</v>
          </cell>
          <cell r="P45" t="str">
            <v/>
          </cell>
          <cell r="Q45" t="str">
            <v/>
          </cell>
          <cell r="R45" t="str">
            <v>-</v>
          </cell>
        </row>
        <row r="46">
          <cell r="A46">
            <v>313034</v>
          </cell>
          <cell r="B46">
            <v>173</v>
          </cell>
          <cell r="C46">
            <v>4131</v>
          </cell>
          <cell r="D46" t="str">
            <v>205/55 R16</v>
          </cell>
          <cell r="E46">
            <v>91</v>
          </cell>
          <cell r="F46" t="str">
            <v>H</v>
          </cell>
          <cell r="G46" t="str">
            <v>PC7</v>
          </cell>
          <cell r="H46">
            <v>313034</v>
          </cell>
          <cell r="I46">
            <v>52143</v>
          </cell>
          <cell r="J46">
            <v>0</v>
          </cell>
          <cell r="K46" t="str">
            <v>P1</v>
          </cell>
          <cell r="L46" t="str">
            <v>RGWA</v>
          </cell>
          <cell r="M46" t="str">
            <v>R</v>
          </cell>
          <cell r="N46" t="str">
            <v>G</v>
          </cell>
          <cell r="O46" t="str">
            <v>W</v>
          </cell>
          <cell r="P46" t="str">
            <v>A</v>
          </cell>
          <cell r="Q46" t="str">
            <v/>
          </cell>
          <cell r="R46" t="str">
            <v>-</v>
          </cell>
        </row>
        <row r="47">
          <cell r="A47">
            <v>313035</v>
          </cell>
          <cell r="B47">
            <v>130</v>
          </cell>
          <cell r="C47">
            <v>4031</v>
          </cell>
          <cell r="D47" t="str">
            <v>205/55 R16</v>
          </cell>
          <cell r="E47">
            <v>91</v>
          </cell>
          <cell r="F47" t="str">
            <v>V</v>
          </cell>
          <cell r="G47" t="str">
            <v>PC7</v>
          </cell>
          <cell r="H47">
            <v>313035</v>
          </cell>
          <cell r="I47">
            <v>52130</v>
          </cell>
          <cell r="J47">
            <v>0</v>
          </cell>
          <cell r="K47" t="str">
            <v>P1</v>
          </cell>
          <cell r="L47" t="str">
            <v>YYYR</v>
          </cell>
          <cell r="M47" t="str">
            <v>Y</v>
          </cell>
          <cell r="N47" t="str">
            <v>Y</v>
          </cell>
          <cell r="O47" t="str">
            <v>Y</v>
          </cell>
          <cell r="P47" t="str">
            <v>R</v>
          </cell>
          <cell r="Q47" t="str">
            <v/>
          </cell>
          <cell r="R47" t="str">
            <v>-</v>
          </cell>
        </row>
        <row r="48">
          <cell r="A48">
            <v>313038</v>
          </cell>
          <cell r="B48">
            <v>129</v>
          </cell>
          <cell r="C48">
            <v>4004</v>
          </cell>
          <cell r="D48" t="str">
            <v>215/50 R17</v>
          </cell>
          <cell r="E48">
            <v>95</v>
          </cell>
          <cell r="F48" t="str">
            <v>Y</v>
          </cell>
          <cell r="G48" t="str">
            <v>PC7 XL</v>
          </cell>
          <cell r="H48">
            <v>313038</v>
          </cell>
          <cell r="I48">
            <v>52129</v>
          </cell>
          <cell r="J48">
            <v>0</v>
          </cell>
          <cell r="K48" t="str">
            <v>P1</v>
          </cell>
          <cell r="L48" t="str">
            <v>AOGAA</v>
          </cell>
          <cell r="M48" t="str">
            <v>A</v>
          </cell>
          <cell r="N48" t="str">
            <v>O</v>
          </cell>
          <cell r="O48" t="str">
            <v>G</v>
          </cell>
          <cell r="P48" t="str">
            <v>A</v>
          </cell>
          <cell r="Q48" t="str">
            <v>A</v>
          </cell>
          <cell r="R48" t="str">
            <v>-</v>
          </cell>
        </row>
        <row r="49">
          <cell r="A49">
            <v>313042</v>
          </cell>
          <cell r="B49">
            <v>422</v>
          </cell>
          <cell r="C49">
            <v>4015</v>
          </cell>
          <cell r="D49" t="str">
            <v>215/55 R18</v>
          </cell>
          <cell r="E49">
            <v>99</v>
          </cell>
          <cell r="F49" t="str">
            <v>V</v>
          </cell>
          <cell r="G49" t="str">
            <v>PC7 XL</v>
          </cell>
          <cell r="H49">
            <v>313042</v>
          </cell>
          <cell r="I49">
            <v>52429</v>
          </cell>
          <cell r="J49">
            <v>0</v>
          </cell>
          <cell r="K49" t="str">
            <v>P1</v>
          </cell>
          <cell r="L49" t="str">
            <v>AGYYA</v>
          </cell>
          <cell r="M49" t="str">
            <v>A</v>
          </cell>
          <cell r="N49" t="str">
            <v>G</v>
          </cell>
          <cell r="O49" t="str">
            <v>Y</v>
          </cell>
          <cell r="P49" t="str">
            <v>Y</v>
          </cell>
          <cell r="Q49" t="str">
            <v>A</v>
          </cell>
          <cell r="R49" t="str">
            <v>-</v>
          </cell>
        </row>
        <row r="50">
          <cell r="A50">
            <v>313049</v>
          </cell>
          <cell r="B50">
            <v>469</v>
          </cell>
          <cell r="C50">
            <v>4289</v>
          </cell>
          <cell r="D50" t="str">
            <v>225/45 R17</v>
          </cell>
          <cell r="E50">
            <v>91</v>
          </cell>
          <cell r="F50" t="str">
            <v>V</v>
          </cell>
          <cell r="G50" t="str">
            <v>PC7</v>
          </cell>
          <cell r="H50">
            <v>313049</v>
          </cell>
          <cell r="I50">
            <v>52263</v>
          </cell>
          <cell r="J50">
            <v>0</v>
          </cell>
          <cell r="K50" t="str">
            <v>P1</v>
          </cell>
          <cell r="L50" t="str">
            <v>YOWO</v>
          </cell>
          <cell r="M50" t="str">
            <v>Y</v>
          </cell>
          <cell r="N50" t="str">
            <v>O</v>
          </cell>
          <cell r="O50" t="str">
            <v>W</v>
          </cell>
          <cell r="P50" t="str">
            <v>O</v>
          </cell>
          <cell r="Q50" t="str">
            <v/>
          </cell>
          <cell r="R50" t="str">
            <v>-</v>
          </cell>
        </row>
        <row r="51">
          <cell r="A51">
            <v>313050</v>
          </cell>
          <cell r="B51" t="str">
            <v>-</v>
          </cell>
          <cell r="C51">
            <v>4389</v>
          </cell>
          <cell r="D51" t="str">
            <v>225/45 R17</v>
          </cell>
          <cell r="E51">
            <v>91</v>
          </cell>
          <cell r="F51" t="str">
            <v>W</v>
          </cell>
          <cell r="G51" t="str">
            <v>PC7</v>
          </cell>
          <cell r="H51">
            <v>313050</v>
          </cell>
          <cell r="I51">
            <v>52544</v>
          </cell>
          <cell r="J51">
            <v>0</v>
          </cell>
          <cell r="K51" t="str">
            <v>P2</v>
          </cell>
          <cell r="L51" t="str">
            <v>AROG</v>
          </cell>
          <cell r="M51" t="str">
            <v>A</v>
          </cell>
          <cell r="N51" t="str">
            <v>R</v>
          </cell>
          <cell r="O51" t="str">
            <v>O</v>
          </cell>
          <cell r="P51" t="str">
            <v>G</v>
          </cell>
          <cell r="Q51" t="str">
            <v/>
          </cell>
          <cell r="R51" t="str">
            <v>-</v>
          </cell>
        </row>
        <row r="52">
          <cell r="A52">
            <v>313051</v>
          </cell>
          <cell r="B52">
            <v>546</v>
          </cell>
          <cell r="C52">
            <v>4089</v>
          </cell>
          <cell r="D52" t="str">
            <v>225/45 R17</v>
          </cell>
          <cell r="E52">
            <v>91</v>
          </cell>
          <cell r="F52" t="str">
            <v>Y</v>
          </cell>
          <cell r="G52" t="str">
            <v>PC7 XL</v>
          </cell>
          <cell r="H52">
            <v>313051</v>
          </cell>
          <cell r="I52">
            <v>52541</v>
          </cell>
          <cell r="J52">
            <v>0</v>
          </cell>
          <cell r="K52" t="str">
            <v>P1</v>
          </cell>
          <cell r="L52" t="str">
            <v>RAOR</v>
          </cell>
          <cell r="M52" t="str">
            <v>R</v>
          </cell>
          <cell r="N52" t="str">
            <v>A</v>
          </cell>
          <cell r="O52" t="str">
            <v>O</v>
          </cell>
          <cell r="P52" t="str">
            <v>R</v>
          </cell>
          <cell r="Q52" t="str">
            <v/>
          </cell>
          <cell r="R52" t="str">
            <v>-</v>
          </cell>
        </row>
        <row r="53">
          <cell r="A53">
            <v>313052</v>
          </cell>
          <cell r="B53" t="str">
            <v>-</v>
          </cell>
          <cell r="C53">
            <v>4489</v>
          </cell>
          <cell r="D53" t="str">
            <v>225/45 R17</v>
          </cell>
          <cell r="E53">
            <v>94</v>
          </cell>
          <cell r="F53" t="str">
            <v>V</v>
          </cell>
          <cell r="G53" t="str">
            <v>PC7 XL</v>
          </cell>
          <cell r="H53">
            <v>313052</v>
          </cell>
          <cell r="I53">
            <v>52255</v>
          </cell>
          <cell r="J53">
            <v>0</v>
          </cell>
          <cell r="K53" t="str">
            <v>P2</v>
          </cell>
          <cell r="L53" t="str">
            <v>YYOW</v>
          </cell>
          <cell r="M53" t="str">
            <v>Y</v>
          </cell>
          <cell r="N53" t="str">
            <v>Y</v>
          </cell>
          <cell r="O53" t="str">
            <v>O</v>
          </cell>
          <cell r="P53" t="str">
            <v>W</v>
          </cell>
          <cell r="Q53" t="str">
            <v/>
          </cell>
          <cell r="R53" t="str">
            <v>-</v>
          </cell>
        </row>
        <row r="54">
          <cell r="A54">
            <v>313053</v>
          </cell>
          <cell r="B54" t="str">
            <v>-</v>
          </cell>
          <cell r="C54">
            <v>4189</v>
          </cell>
          <cell r="D54" t="str">
            <v>225/45 R17</v>
          </cell>
          <cell r="E54">
            <v>94</v>
          </cell>
          <cell r="F54" t="str">
            <v>Y</v>
          </cell>
          <cell r="G54" t="str">
            <v>PC7 XL</v>
          </cell>
          <cell r="H54">
            <v>313053</v>
          </cell>
          <cell r="I54">
            <v>52595</v>
          </cell>
          <cell r="J54">
            <v>0</v>
          </cell>
          <cell r="K54" t="str">
            <v>P1</v>
          </cell>
          <cell r="L54" t="str">
            <v>OGYG</v>
          </cell>
          <cell r="M54" t="str">
            <v>O</v>
          </cell>
          <cell r="N54" t="str">
            <v>G</v>
          </cell>
          <cell r="O54" t="str">
            <v>Y</v>
          </cell>
          <cell r="P54" t="str">
            <v>G</v>
          </cell>
          <cell r="Q54" t="str">
            <v/>
          </cell>
          <cell r="R54" t="str">
            <v>-</v>
          </cell>
        </row>
        <row r="55">
          <cell r="A55">
            <v>313061</v>
          </cell>
          <cell r="B55">
            <v>329</v>
          </cell>
          <cell r="C55">
            <v>4085</v>
          </cell>
          <cell r="D55" t="str">
            <v>225/55 R16</v>
          </cell>
          <cell r="E55">
            <v>99</v>
          </cell>
          <cell r="F55" t="str">
            <v>W</v>
          </cell>
          <cell r="G55" t="str">
            <v>PC7 XL</v>
          </cell>
          <cell r="H55">
            <v>313061</v>
          </cell>
          <cell r="I55">
            <v>52329</v>
          </cell>
          <cell r="J55">
            <v>0</v>
          </cell>
          <cell r="K55" t="str">
            <v>P1</v>
          </cell>
          <cell r="L55" t="str">
            <v>YOGYY</v>
          </cell>
          <cell r="M55" t="str">
            <v>Y</v>
          </cell>
          <cell r="N55" t="str">
            <v>O</v>
          </cell>
          <cell r="O55" t="str">
            <v>G</v>
          </cell>
          <cell r="P55" t="str">
            <v>Y</v>
          </cell>
          <cell r="Q55" t="str">
            <v>Y</v>
          </cell>
          <cell r="R55" t="str">
            <v>-</v>
          </cell>
        </row>
        <row r="56">
          <cell r="A56">
            <v>313063</v>
          </cell>
          <cell r="B56">
            <v>241</v>
          </cell>
          <cell r="C56">
            <v>3041</v>
          </cell>
          <cell r="D56" t="str">
            <v>225/55 R18</v>
          </cell>
          <cell r="E56">
            <v>98</v>
          </cell>
          <cell r="F56" t="str">
            <v>V</v>
          </cell>
          <cell r="G56" t="str">
            <v>PC7</v>
          </cell>
          <cell r="H56">
            <v>313063</v>
          </cell>
          <cell r="I56">
            <v>52141</v>
          </cell>
          <cell r="J56">
            <v>0</v>
          </cell>
          <cell r="K56" t="str">
            <v>P1</v>
          </cell>
          <cell r="L56" t="str">
            <v>OWR</v>
          </cell>
          <cell r="M56" t="str">
            <v>O</v>
          </cell>
          <cell r="N56" t="str">
            <v>W</v>
          </cell>
          <cell r="O56" t="str">
            <v>R</v>
          </cell>
          <cell r="P56" t="str">
            <v/>
          </cell>
          <cell r="Q56" t="str">
            <v/>
          </cell>
          <cell r="R56" t="str">
            <v>-</v>
          </cell>
        </row>
        <row r="57">
          <cell r="A57">
            <v>313068</v>
          </cell>
          <cell r="B57">
            <v>166</v>
          </cell>
          <cell r="C57">
            <v>2039</v>
          </cell>
          <cell r="D57" t="str">
            <v>235/45 R18</v>
          </cell>
          <cell r="E57">
            <v>98</v>
          </cell>
          <cell r="F57" t="str">
            <v>Y</v>
          </cell>
          <cell r="G57" t="str">
            <v>PC7 XL</v>
          </cell>
          <cell r="H57">
            <v>313068</v>
          </cell>
          <cell r="I57">
            <v>52160</v>
          </cell>
          <cell r="J57">
            <v>0</v>
          </cell>
          <cell r="K57" t="str">
            <v>P1</v>
          </cell>
          <cell r="L57" t="str">
            <v>RWWA</v>
          </cell>
          <cell r="M57" t="str">
            <v>R</v>
          </cell>
          <cell r="N57" t="str">
            <v>W</v>
          </cell>
          <cell r="O57" t="str">
            <v>W</v>
          </cell>
          <cell r="P57" t="str">
            <v>A</v>
          </cell>
          <cell r="Q57" t="str">
            <v/>
          </cell>
          <cell r="R57" t="str">
            <v>-</v>
          </cell>
        </row>
        <row r="58">
          <cell r="A58">
            <v>313070</v>
          </cell>
          <cell r="B58" t="str">
            <v>-</v>
          </cell>
          <cell r="C58">
            <v>5009</v>
          </cell>
          <cell r="D58" t="str">
            <v>235/55 R18</v>
          </cell>
          <cell r="E58">
            <v>100</v>
          </cell>
          <cell r="F58" t="str">
            <v>V</v>
          </cell>
          <cell r="G58" t="str">
            <v>PC7</v>
          </cell>
          <cell r="H58">
            <v>313070</v>
          </cell>
          <cell r="I58">
            <v>52910</v>
          </cell>
          <cell r="J58">
            <v>0</v>
          </cell>
          <cell r="K58" t="str">
            <v>P1</v>
          </cell>
          <cell r="L58" t="str">
            <v>RRRR</v>
          </cell>
          <cell r="M58" t="str">
            <v>R</v>
          </cell>
          <cell r="N58" t="str">
            <v>R</v>
          </cell>
          <cell r="O58" t="str">
            <v>R</v>
          </cell>
          <cell r="P58" t="str">
            <v>R</v>
          </cell>
          <cell r="Q58" t="str">
            <v/>
          </cell>
          <cell r="R58" t="str">
            <v>-</v>
          </cell>
        </row>
        <row r="59">
          <cell r="A59">
            <v>313071</v>
          </cell>
          <cell r="B59" t="str">
            <v>-</v>
          </cell>
          <cell r="C59">
            <v>5109</v>
          </cell>
          <cell r="D59" t="str">
            <v>235/55 R18</v>
          </cell>
          <cell r="E59">
            <v>104</v>
          </cell>
          <cell r="F59" t="str">
            <v>Y</v>
          </cell>
          <cell r="G59" t="str">
            <v>PC7 XL</v>
          </cell>
          <cell r="H59">
            <v>313071</v>
          </cell>
          <cell r="I59">
            <v>52911</v>
          </cell>
          <cell r="J59">
            <v>0</v>
          </cell>
          <cell r="K59" t="str">
            <v>P1</v>
          </cell>
          <cell r="L59" t="str">
            <v>RRRW</v>
          </cell>
          <cell r="M59" t="str">
            <v>R</v>
          </cell>
          <cell r="N59" t="str">
            <v>R</v>
          </cell>
          <cell r="O59" t="str">
            <v>R</v>
          </cell>
          <cell r="P59" t="str">
            <v>W</v>
          </cell>
          <cell r="Q59" t="str">
            <v/>
          </cell>
          <cell r="R59" t="str">
            <v>-</v>
          </cell>
        </row>
        <row r="60">
          <cell r="A60">
            <v>313102</v>
          </cell>
          <cell r="B60">
            <v>425</v>
          </cell>
          <cell r="C60">
            <v>78</v>
          </cell>
          <cell r="D60" t="str">
            <v>205/55 R15</v>
          </cell>
          <cell r="E60">
            <v>88</v>
          </cell>
          <cell r="F60" t="str">
            <v>V</v>
          </cell>
          <cell r="G60" t="str">
            <v>ULTRACONTACT</v>
          </cell>
          <cell r="H60">
            <v>313102</v>
          </cell>
          <cell r="I60">
            <v>52422</v>
          </cell>
          <cell r="J60">
            <v>0</v>
          </cell>
          <cell r="K60" t="str">
            <v>P1</v>
          </cell>
          <cell r="L60" t="str">
            <v>AWG</v>
          </cell>
          <cell r="M60" t="str">
            <v>A</v>
          </cell>
          <cell r="N60" t="str">
            <v>W</v>
          </cell>
          <cell r="O60" t="str">
            <v>G</v>
          </cell>
          <cell r="P60" t="str">
            <v/>
          </cell>
          <cell r="Q60" t="str">
            <v/>
          </cell>
          <cell r="R60" t="str">
            <v>-</v>
          </cell>
        </row>
        <row r="61">
          <cell r="A61">
            <v>313105</v>
          </cell>
          <cell r="B61">
            <v>566</v>
          </cell>
          <cell r="C61">
            <v>6164</v>
          </cell>
          <cell r="D61" t="str">
            <v>195/45 R16</v>
          </cell>
          <cell r="E61">
            <v>84</v>
          </cell>
          <cell r="F61" t="str">
            <v>H</v>
          </cell>
          <cell r="G61" t="str">
            <v>ULTRACONTACT XL</v>
          </cell>
          <cell r="H61">
            <v>313105</v>
          </cell>
          <cell r="I61">
            <v>52816</v>
          </cell>
          <cell r="J61">
            <v>0</v>
          </cell>
          <cell r="K61" t="str">
            <v>P1</v>
          </cell>
          <cell r="L61" t="str">
            <v>WAYRY</v>
          </cell>
          <cell r="M61" t="str">
            <v>W</v>
          </cell>
          <cell r="N61" t="str">
            <v>A</v>
          </cell>
          <cell r="O61" t="str">
            <v>Y</v>
          </cell>
          <cell r="P61" t="str">
            <v>R</v>
          </cell>
          <cell r="Q61" t="str">
            <v>Y</v>
          </cell>
          <cell r="R61" t="str">
            <v>-</v>
          </cell>
        </row>
        <row r="62">
          <cell r="A62">
            <v>313106</v>
          </cell>
          <cell r="B62">
            <v>106</v>
          </cell>
          <cell r="C62">
            <v>4025</v>
          </cell>
          <cell r="D62" t="str">
            <v>195/55 R16</v>
          </cell>
          <cell r="E62">
            <v>87</v>
          </cell>
          <cell r="F62" t="str">
            <v>W</v>
          </cell>
          <cell r="G62" t="str">
            <v>ULTRACONTACT</v>
          </cell>
          <cell r="H62">
            <v>313106</v>
          </cell>
          <cell r="I62">
            <v>52416</v>
          </cell>
          <cell r="J62">
            <v>0</v>
          </cell>
          <cell r="K62" t="str">
            <v>P8</v>
          </cell>
          <cell r="L62" t="str">
            <v>OYWRA</v>
          </cell>
          <cell r="M62" t="str">
            <v>O</v>
          </cell>
          <cell r="N62" t="str">
            <v>Y</v>
          </cell>
          <cell r="O62" t="str">
            <v>W</v>
          </cell>
          <cell r="P62" t="str">
            <v>R</v>
          </cell>
          <cell r="Q62" t="str">
            <v>A</v>
          </cell>
          <cell r="R62" t="str">
            <v>-</v>
          </cell>
        </row>
        <row r="63">
          <cell r="A63">
            <v>313108</v>
          </cell>
          <cell r="B63">
            <v>47</v>
          </cell>
          <cell r="C63">
            <v>4019</v>
          </cell>
          <cell r="D63" t="str">
            <v>205/45 R16</v>
          </cell>
          <cell r="E63">
            <v>83</v>
          </cell>
          <cell r="F63" t="str">
            <v>H</v>
          </cell>
          <cell r="G63" t="str">
            <v>ULTRACONTACT</v>
          </cell>
          <cell r="H63">
            <v>313108</v>
          </cell>
          <cell r="I63">
            <v>52047</v>
          </cell>
          <cell r="J63">
            <v>0</v>
          </cell>
          <cell r="K63" t="str">
            <v>P4</v>
          </cell>
          <cell r="L63" t="str">
            <v>GRA</v>
          </cell>
          <cell r="M63" t="str">
            <v>G</v>
          </cell>
          <cell r="N63" t="str">
            <v>R</v>
          </cell>
          <cell r="O63" t="str">
            <v>A</v>
          </cell>
          <cell r="P63" t="str">
            <v/>
          </cell>
          <cell r="Q63" t="str">
            <v/>
          </cell>
          <cell r="R63" t="str">
            <v>-</v>
          </cell>
        </row>
        <row r="64">
          <cell r="A64">
            <v>313109</v>
          </cell>
          <cell r="B64">
            <v>69</v>
          </cell>
          <cell r="C64">
            <v>4038</v>
          </cell>
          <cell r="D64" t="str">
            <v>205/45 R16</v>
          </cell>
          <cell r="E64">
            <v>87</v>
          </cell>
          <cell r="F64" t="str">
            <v>W</v>
          </cell>
          <cell r="G64" t="str">
            <v>ULTRACONTACT XL</v>
          </cell>
          <cell r="H64">
            <v>313109</v>
          </cell>
          <cell r="I64">
            <v>52078</v>
          </cell>
          <cell r="J64">
            <v>0</v>
          </cell>
          <cell r="K64" t="str">
            <v>P4</v>
          </cell>
          <cell r="L64" t="str">
            <v>RYY</v>
          </cell>
          <cell r="M64" t="str">
            <v>R</v>
          </cell>
          <cell r="N64" t="str">
            <v>Y</v>
          </cell>
          <cell r="O64" t="str">
            <v>Y</v>
          </cell>
          <cell r="P64" t="str">
            <v/>
          </cell>
          <cell r="Q64" t="str">
            <v/>
          </cell>
          <cell r="R64" t="str">
            <v>-</v>
          </cell>
        </row>
        <row r="65">
          <cell r="A65">
            <v>313116</v>
          </cell>
          <cell r="B65">
            <v>466</v>
          </cell>
          <cell r="C65">
            <v>5146</v>
          </cell>
          <cell r="D65" t="str">
            <v>225/55 R16</v>
          </cell>
          <cell r="E65">
            <v>95</v>
          </cell>
          <cell r="F65" t="str">
            <v>V</v>
          </cell>
          <cell r="G65" t="str">
            <v>ULTRACONTACT</v>
          </cell>
          <cell r="H65">
            <v>313116</v>
          </cell>
          <cell r="I65">
            <v>52467</v>
          </cell>
          <cell r="J65">
            <v>0</v>
          </cell>
          <cell r="K65" t="str">
            <v>P4</v>
          </cell>
          <cell r="L65" t="str">
            <v>OORY</v>
          </cell>
          <cell r="M65" t="str">
            <v>O</v>
          </cell>
          <cell r="N65" t="str">
            <v>O</v>
          </cell>
          <cell r="O65" t="str">
            <v>R</v>
          </cell>
          <cell r="P65" t="str">
            <v>Y</v>
          </cell>
          <cell r="Q65" t="str">
            <v/>
          </cell>
          <cell r="R65" t="str">
            <v>-</v>
          </cell>
        </row>
        <row r="66">
          <cell r="A66">
            <v>313228</v>
          </cell>
          <cell r="B66">
            <v>44</v>
          </cell>
          <cell r="C66">
            <v>2116</v>
          </cell>
          <cell r="D66" t="str">
            <v>205/55 R17</v>
          </cell>
          <cell r="E66">
            <v>91</v>
          </cell>
          <cell r="F66" t="str">
            <v>V</v>
          </cell>
          <cell r="G66" t="str">
            <v>ECOCONTACT 6 VW</v>
          </cell>
          <cell r="H66">
            <v>313228</v>
          </cell>
          <cell r="I66">
            <v>52044</v>
          </cell>
          <cell r="J66">
            <v>39</v>
          </cell>
          <cell r="K66" t="str">
            <v>P4</v>
          </cell>
          <cell r="L66" t="str">
            <v>RAW</v>
          </cell>
          <cell r="M66" t="str">
            <v>R</v>
          </cell>
          <cell r="N66" t="str">
            <v>A</v>
          </cell>
          <cell r="O66" t="str">
            <v>W</v>
          </cell>
          <cell r="P66" t="str">
            <v/>
          </cell>
          <cell r="Q66" t="str">
            <v/>
          </cell>
          <cell r="R66" t="str">
            <v>PR-INS</v>
          </cell>
        </row>
        <row r="67">
          <cell r="A67">
            <v>313660</v>
          </cell>
          <cell r="C67">
            <v>6081</v>
          </cell>
          <cell r="D67" t="str">
            <v>205/45 R17</v>
          </cell>
          <cell r="E67">
            <v>88</v>
          </cell>
          <cell r="F67" t="str">
            <v>V</v>
          </cell>
          <cell r="G67" t="str">
            <v>ECOCONTACT 6 XL</v>
          </cell>
          <cell r="H67">
            <v>313660</v>
          </cell>
          <cell r="I67">
            <v>52279</v>
          </cell>
          <cell r="J67">
            <v>0</v>
          </cell>
          <cell r="K67" t="str">
            <v>P4</v>
          </cell>
          <cell r="L67" t="str">
            <v>GWOY</v>
          </cell>
          <cell r="M67" t="str">
            <v>G</v>
          </cell>
          <cell r="N67" t="str">
            <v>W</v>
          </cell>
          <cell r="O67" t="str">
            <v>O</v>
          </cell>
          <cell r="P67" t="str">
            <v>Y</v>
          </cell>
          <cell r="Q67" t="str">
            <v/>
          </cell>
          <cell r="R67" t="str">
            <v>-</v>
          </cell>
        </row>
        <row r="68">
          <cell r="A68">
            <v>313870</v>
          </cell>
          <cell r="B68">
            <v>250</v>
          </cell>
          <cell r="C68">
            <v>92</v>
          </cell>
          <cell r="D68" t="str">
            <v>205/60 R16</v>
          </cell>
          <cell r="E68">
            <v>96</v>
          </cell>
          <cell r="F68" t="str">
            <v>W</v>
          </cell>
          <cell r="G68" t="str">
            <v>ECOCONTACT 6 XL</v>
          </cell>
          <cell r="H68">
            <v>313870</v>
          </cell>
          <cell r="I68">
            <v>52206</v>
          </cell>
          <cell r="J68">
            <v>0</v>
          </cell>
          <cell r="K68" t="str">
            <v>P4</v>
          </cell>
          <cell r="L68" t="str">
            <v>RRRRA</v>
          </cell>
          <cell r="M68" t="str">
            <v>R</v>
          </cell>
          <cell r="N68" t="str">
            <v>R</v>
          </cell>
          <cell r="O68" t="str">
            <v>R</v>
          </cell>
          <cell r="P68" t="str">
            <v>R</v>
          </cell>
          <cell r="Q68" t="str">
            <v>A</v>
          </cell>
          <cell r="R68" t="str">
            <v>-</v>
          </cell>
        </row>
        <row r="69">
          <cell r="A69">
            <v>313873</v>
          </cell>
          <cell r="B69" t="str">
            <v>-</v>
          </cell>
          <cell r="C69">
            <v>3062</v>
          </cell>
          <cell r="D69" t="str">
            <v>225/55 R16</v>
          </cell>
          <cell r="E69">
            <v>99</v>
          </cell>
          <cell r="F69" t="str">
            <v>Y</v>
          </cell>
          <cell r="G69" t="str">
            <v>ECOCONTACT 6 XL</v>
          </cell>
          <cell r="H69">
            <v>313873</v>
          </cell>
          <cell r="I69">
            <v>52156</v>
          </cell>
          <cell r="J69">
            <v>0</v>
          </cell>
          <cell r="K69" t="str">
            <v>R</v>
          </cell>
          <cell r="L69" t="str">
            <v>AGGAG</v>
          </cell>
          <cell r="M69" t="str">
            <v>A</v>
          </cell>
          <cell r="N69" t="str">
            <v>G</v>
          </cell>
          <cell r="O69" t="str">
            <v>G</v>
          </cell>
          <cell r="P69" t="str">
            <v>A</v>
          </cell>
          <cell r="Q69" t="str">
            <v>G</v>
          </cell>
          <cell r="R69" t="str">
            <v>-</v>
          </cell>
        </row>
        <row r="70">
          <cell r="A70">
            <v>313892</v>
          </cell>
          <cell r="B70" t="str">
            <v>-</v>
          </cell>
          <cell r="C70">
            <v>4084</v>
          </cell>
          <cell r="D70" t="str">
            <v>235/55 R17</v>
          </cell>
          <cell r="E70">
            <v>103</v>
          </cell>
          <cell r="F70" t="str">
            <v>H</v>
          </cell>
          <cell r="G70" t="str">
            <v>ECOCONTACT 7S VW XL</v>
          </cell>
          <cell r="H70">
            <v>313892</v>
          </cell>
          <cell r="I70">
            <v>52332</v>
          </cell>
          <cell r="J70">
            <v>39</v>
          </cell>
          <cell r="K70" t="str">
            <v>P0</v>
          </cell>
          <cell r="L70" t="str">
            <v>AGGRY</v>
          </cell>
          <cell r="M70" t="str">
            <v>A</v>
          </cell>
          <cell r="N70" t="str">
            <v>G</v>
          </cell>
          <cell r="O70" t="str">
            <v>G</v>
          </cell>
          <cell r="P70" t="str">
            <v>R</v>
          </cell>
          <cell r="Q70" t="str">
            <v>Y</v>
          </cell>
          <cell r="R70" t="str">
            <v>-</v>
          </cell>
        </row>
        <row r="71">
          <cell r="A71">
            <v>313898</v>
          </cell>
          <cell r="B71" t="str">
            <v>-</v>
          </cell>
          <cell r="C71">
            <v>6098</v>
          </cell>
          <cell r="D71" t="str">
            <v>225/45 R19</v>
          </cell>
          <cell r="E71">
            <v>92</v>
          </cell>
          <cell r="F71" t="str">
            <v>W</v>
          </cell>
          <cell r="G71" t="str">
            <v>ECOCONTACT 7S</v>
          </cell>
          <cell r="H71">
            <v>313898</v>
          </cell>
          <cell r="I71">
            <v>52721</v>
          </cell>
          <cell r="J71">
            <v>39</v>
          </cell>
          <cell r="K71" t="str">
            <v>P5</v>
          </cell>
          <cell r="L71" t="str">
            <v>AGYYR</v>
          </cell>
          <cell r="M71" t="str">
            <v>A</v>
          </cell>
          <cell r="N71" t="str">
            <v>G</v>
          </cell>
          <cell r="O71" t="str">
            <v>Y</v>
          </cell>
          <cell r="P71" t="str">
            <v>Y</v>
          </cell>
          <cell r="Q71" t="str">
            <v>R</v>
          </cell>
          <cell r="R71" t="str">
            <v>PR-INS</v>
          </cell>
        </row>
        <row r="72">
          <cell r="A72">
            <v>314095</v>
          </cell>
          <cell r="B72" t="str">
            <v>-</v>
          </cell>
          <cell r="C72">
            <v>58072</v>
          </cell>
          <cell r="D72" t="str">
            <v>205/40 R17</v>
          </cell>
          <cell r="E72">
            <v>84</v>
          </cell>
          <cell r="F72" t="str">
            <v>Y</v>
          </cell>
          <cell r="G72" t="str">
            <v>ULTRACONTACT XL</v>
          </cell>
          <cell r="H72">
            <v>314095</v>
          </cell>
          <cell r="I72">
            <v>52766</v>
          </cell>
          <cell r="J72">
            <v>0</v>
          </cell>
          <cell r="K72" t="str">
            <v>P0</v>
          </cell>
          <cell r="L72" t="str">
            <v>ROWY</v>
          </cell>
          <cell r="M72" t="str">
            <v>R</v>
          </cell>
          <cell r="N72" t="str">
            <v>O</v>
          </cell>
          <cell r="O72" t="str">
            <v>W</v>
          </cell>
          <cell r="P72" t="str">
            <v>Y</v>
          </cell>
          <cell r="Q72" t="str">
            <v/>
          </cell>
          <cell r="R72" t="str">
            <v>-</v>
          </cell>
        </row>
        <row r="73">
          <cell r="A73">
            <v>314101</v>
          </cell>
          <cell r="B73" t="str">
            <v>-</v>
          </cell>
          <cell r="C73">
            <v>5038</v>
          </cell>
          <cell r="D73" t="str">
            <v>235/55 R17</v>
          </cell>
          <cell r="E73">
            <v>103</v>
          </cell>
          <cell r="F73" t="str">
            <v>Y</v>
          </cell>
          <cell r="G73" t="str">
            <v>ULTRACONTACT XL</v>
          </cell>
          <cell r="H73">
            <v>314101</v>
          </cell>
          <cell r="I73">
            <v>52337</v>
          </cell>
          <cell r="J73">
            <v>0</v>
          </cell>
          <cell r="K73" t="str">
            <v>P3</v>
          </cell>
          <cell r="L73" t="str">
            <v>ARRRG</v>
          </cell>
          <cell r="M73" t="str">
            <v>A</v>
          </cell>
          <cell r="N73" t="str">
            <v>R</v>
          </cell>
          <cell r="O73" t="str">
            <v>R</v>
          </cell>
          <cell r="P73" t="str">
            <v>R</v>
          </cell>
          <cell r="Q73" t="str">
            <v>G</v>
          </cell>
          <cell r="R73" t="str">
            <v>-</v>
          </cell>
        </row>
        <row r="74">
          <cell r="A74">
            <v>314105</v>
          </cell>
          <cell r="B74" t="str">
            <v>-</v>
          </cell>
          <cell r="C74">
            <v>58016</v>
          </cell>
          <cell r="D74" t="str">
            <v>245/40 R17</v>
          </cell>
          <cell r="E74">
            <v>95</v>
          </cell>
          <cell r="F74" t="str">
            <v>Y</v>
          </cell>
          <cell r="G74" t="str">
            <v>ULTRACONTACT XL</v>
          </cell>
          <cell r="H74">
            <v>314105</v>
          </cell>
          <cell r="I74">
            <v>52086</v>
          </cell>
          <cell r="J74">
            <v>0</v>
          </cell>
          <cell r="K74" t="str">
            <v>P2</v>
          </cell>
          <cell r="L74" t="str">
            <v>GWAA</v>
          </cell>
          <cell r="M74" t="str">
            <v>G</v>
          </cell>
          <cell r="N74" t="str">
            <v>W</v>
          </cell>
          <cell r="O74" t="str">
            <v>A</v>
          </cell>
          <cell r="P74" t="str">
            <v>A</v>
          </cell>
          <cell r="Q74" t="str">
            <v/>
          </cell>
          <cell r="R74" t="str">
            <v>-</v>
          </cell>
        </row>
        <row r="75">
          <cell r="A75">
            <v>314111</v>
          </cell>
          <cell r="B75" t="str">
            <v>-</v>
          </cell>
          <cell r="C75">
            <v>6037</v>
          </cell>
          <cell r="D75" t="str">
            <v>235/55 R18</v>
          </cell>
          <cell r="E75">
            <v>100</v>
          </cell>
          <cell r="F75" t="str">
            <v>H</v>
          </cell>
          <cell r="G75" t="str">
            <v>ULTRACONTACT</v>
          </cell>
          <cell r="H75">
            <v>314111</v>
          </cell>
          <cell r="I75">
            <v>52637</v>
          </cell>
          <cell r="J75">
            <v>0</v>
          </cell>
          <cell r="K75" t="str">
            <v>P0</v>
          </cell>
          <cell r="L75" t="str">
            <v>AWAWA</v>
          </cell>
          <cell r="M75" t="str">
            <v>A</v>
          </cell>
          <cell r="N75" t="str">
            <v>W</v>
          </cell>
          <cell r="O75" t="str">
            <v>A</v>
          </cell>
          <cell r="P75" t="str">
            <v>W</v>
          </cell>
          <cell r="Q75" t="str">
            <v>A</v>
          </cell>
          <cell r="R75" t="str">
            <v>-</v>
          </cell>
        </row>
        <row r="76">
          <cell r="A76">
            <v>314115</v>
          </cell>
          <cell r="B76" t="str">
            <v>-</v>
          </cell>
          <cell r="C76">
            <v>2081</v>
          </cell>
          <cell r="D76" t="str">
            <v>205/55 R19</v>
          </cell>
          <cell r="E76">
            <v>97</v>
          </cell>
          <cell r="F76" t="str">
            <v>V</v>
          </cell>
          <cell r="G76" t="str">
            <v>ULTRACONTACT XL</v>
          </cell>
          <cell r="H76">
            <v>314115</v>
          </cell>
          <cell r="I76">
            <v>52381</v>
          </cell>
          <cell r="J76">
            <v>0</v>
          </cell>
          <cell r="K76" t="str">
            <v>P2</v>
          </cell>
          <cell r="L76" t="str">
            <v>OAAOA</v>
          </cell>
          <cell r="M76" t="str">
            <v>O</v>
          </cell>
          <cell r="N76" t="str">
            <v>A</v>
          </cell>
          <cell r="O76" t="str">
            <v>A</v>
          </cell>
          <cell r="P76" t="str">
            <v>O</v>
          </cell>
          <cell r="Q76" t="str">
            <v>A</v>
          </cell>
          <cell r="R76" t="str">
            <v>-</v>
          </cell>
        </row>
        <row r="77">
          <cell r="A77">
            <v>314119</v>
          </cell>
          <cell r="B77" t="str">
            <v>-</v>
          </cell>
          <cell r="C77">
            <v>58070</v>
          </cell>
          <cell r="D77" t="str">
            <v>205/40 R18</v>
          </cell>
          <cell r="E77">
            <v>86</v>
          </cell>
          <cell r="F77" t="str">
            <v>Y</v>
          </cell>
          <cell r="G77" t="str">
            <v>PC7 XL</v>
          </cell>
          <cell r="H77">
            <v>314119</v>
          </cell>
          <cell r="I77">
            <v>52193</v>
          </cell>
          <cell r="J77">
            <v>0</v>
          </cell>
          <cell r="K77" t="str">
            <v>P2</v>
          </cell>
          <cell r="L77" t="str">
            <v>AAARO</v>
          </cell>
          <cell r="M77" t="str">
            <v>A</v>
          </cell>
          <cell r="N77" t="str">
            <v>A</v>
          </cell>
          <cell r="O77" t="str">
            <v>A</v>
          </cell>
          <cell r="P77" t="str">
            <v>R</v>
          </cell>
          <cell r="Q77" t="str">
            <v>O</v>
          </cell>
          <cell r="R77" t="str">
            <v>-</v>
          </cell>
        </row>
        <row r="78">
          <cell r="A78">
            <v>314122</v>
          </cell>
          <cell r="B78" t="str">
            <v>-</v>
          </cell>
          <cell r="C78">
            <v>3005</v>
          </cell>
          <cell r="D78" t="str">
            <v>245/50 R18</v>
          </cell>
          <cell r="E78">
            <v>100</v>
          </cell>
          <cell r="F78" t="str">
            <v>Y</v>
          </cell>
          <cell r="G78" t="str">
            <v>PC7</v>
          </cell>
          <cell r="H78">
            <v>314122</v>
          </cell>
          <cell r="I78">
            <v>52460</v>
          </cell>
          <cell r="J78">
            <v>0</v>
          </cell>
          <cell r="K78" t="str">
            <v>P2</v>
          </cell>
          <cell r="L78" t="str">
            <v>YYOG</v>
          </cell>
          <cell r="M78" t="str">
            <v>Y</v>
          </cell>
          <cell r="N78" t="str">
            <v>Y</v>
          </cell>
          <cell r="O78" t="str">
            <v>O</v>
          </cell>
          <cell r="P78" t="str">
            <v>G</v>
          </cell>
          <cell r="Q78" t="str">
            <v/>
          </cell>
          <cell r="R78" t="str">
            <v>-</v>
          </cell>
        </row>
        <row r="79">
          <cell r="A79">
            <v>314195</v>
          </cell>
          <cell r="B79" t="str">
            <v>-</v>
          </cell>
          <cell r="C79">
            <v>3018</v>
          </cell>
          <cell r="D79" t="str">
            <v>255/40 R18</v>
          </cell>
          <cell r="E79">
            <v>99</v>
          </cell>
          <cell r="F79" t="str">
            <v>Y</v>
          </cell>
          <cell r="G79" t="str">
            <v>PC7 XL</v>
          </cell>
          <cell r="H79">
            <v>314195</v>
          </cell>
          <cell r="I79">
            <v>52050</v>
          </cell>
          <cell r="J79">
            <v>0</v>
          </cell>
          <cell r="K79" t="str">
            <v>P2</v>
          </cell>
          <cell r="L79" t="str">
            <v>RRRRG</v>
          </cell>
          <cell r="M79" t="str">
            <v>R</v>
          </cell>
          <cell r="N79" t="str">
            <v>R</v>
          </cell>
          <cell r="O79" t="str">
            <v>R</v>
          </cell>
          <cell r="P79" t="str">
            <v>R</v>
          </cell>
          <cell r="Q79" t="str">
            <v>G</v>
          </cell>
          <cell r="R79" t="str">
            <v>-</v>
          </cell>
        </row>
        <row r="80">
          <cell r="A80">
            <v>314197</v>
          </cell>
          <cell r="B80" t="str">
            <v>-</v>
          </cell>
          <cell r="C80">
            <v>4099</v>
          </cell>
          <cell r="D80" t="str">
            <v>235/55 R19</v>
          </cell>
          <cell r="E80">
            <v>105</v>
          </cell>
          <cell r="F80" t="str">
            <v>Y</v>
          </cell>
          <cell r="G80" t="str">
            <v>PC7 XL</v>
          </cell>
          <cell r="H80">
            <v>314197</v>
          </cell>
          <cell r="I80">
            <v>52515</v>
          </cell>
          <cell r="J80">
            <v>0</v>
          </cell>
          <cell r="K80" t="str">
            <v>P2</v>
          </cell>
          <cell r="L80" t="str">
            <v>AAAWR</v>
          </cell>
          <cell r="M80" t="str">
            <v>A</v>
          </cell>
          <cell r="N80" t="str">
            <v>A</v>
          </cell>
          <cell r="O80" t="str">
            <v>A</v>
          </cell>
          <cell r="P80" t="str">
            <v>W</v>
          </cell>
          <cell r="Q80" t="str">
            <v>R</v>
          </cell>
          <cell r="R80" t="str">
            <v>-</v>
          </cell>
        </row>
        <row r="81">
          <cell r="A81">
            <v>314576</v>
          </cell>
          <cell r="B81" t="str">
            <v>-</v>
          </cell>
          <cell r="C81">
            <v>6117</v>
          </cell>
          <cell r="D81" t="str">
            <v>235/55 R18</v>
          </cell>
          <cell r="E81">
            <v>100</v>
          </cell>
          <cell r="F81" t="str">
            <v>V</v>
          </cell>
          <cell r="G81" t="str">
            <v>ECOCONTACT 6 VOLVO</v>
          </cell>
          <cell r="H81">
            <v>314576</v>
          </cell>
          <cell r="I81">
            <v>52452</v>
          </cell>
          <cell r="J81">
            <v>40</v>
          </cell>
          <cell r="K81" t="str">
            <v>P4</v>
          </cell>
          <cell r="L81" t="str">
            <v>OOOW</v>
          </cell>
          <cell r="M81" t="str">
            <v>O</v>
          </cell>
          <cell r="N81" t="str">
            <v>O</v>
          </cell>
          <cell r="O81" t="str">
            <v>O</v>
          </cell>
          <cell r="P81" t="str">
            <v>W</v>
          </cell>
          <cell r="Q81" t="str">
            <v/>
          </cell>
          <cell r="R81" t="str">
            <v>PB-1HB</v>
          </cell>
        </row>
        <row r="82">
          <cell r="A82">
            <v>314577</v>
          </cell>
          <cell r="B82" t="str">
            <v>-</v>
          </cell>
          <cell r="C82">
            <v>6116</v>
          </cell>
          <cell r="D82" t="str">
            <v>235/50 R19</v>
          </cell>
          <cell r="E82">
            <v>103</v>
          </cell>
          <cell r="F82" t="str">
            <v>V</v>
          </cell>
          <cell r="G82" t="str">
            <v>ECOCONTACT 6 VOLVO XL</v>
          </cell>
          <cell r="H82">
            <v>314577</v>
          </cell>
          <cell r="I82">
            <v>52828</v>
          </cell>
          <cell r="J82">
            <v>40</v>
          </cell>
          <cell r="K82" t="str">
            <v>P4</v>
          </cell>
          <cell r="L82" t="str">
            <v>GGGGY</v>
          </cell>
          <cell r="M82" t="str">
            <v>G</v>
          </cell>
          <cell r="N82" t="str">
            <v>G</v>
          </cell>
          <cell r="O82" t="str">
            <v>G</v>
          </cell>
          <cell r="P82" t="str">
            <v>G</v>
          </cell>
          <cell r="Q82" t="str">
            <v>Y</v>
          </cell>
          <cell r="R82" t="str">
            <v>PB-1HB</v>
          </cell>
        </row>
        <row r="83">
          <cell r="A83">
            <v>314622</v>
          </cell>
          <cell r="B83" t="str">
            <v>-</v>
          </cell>
          <cell r="C83">
            <v>6128</v>
          </cell>
          <cell r="D83" t="str">
            <v>215/55 R18</v>
          </cell>
          <cell r="E83">
            <v>95</v>
          </cell>
          <cell r="F83" t="str">
            <v>T</v>
          </cell>
          <cell r="G83" t="str">
            <v>ECOCONTACT 6 VW</v>
          </cell>
          <cell r="H83">
            <v>314622</v>
          </cell>
          <cell r="I83">
            <v>52162</v>
          </cell>
          <cell r="J83">
            <v>39</v>
          </cell>
          <cell r="K83" t="str">
            <v>P4</v>
          </cell>
          <cell r="L83" t="str">
            <v>YYYGO</v>
          </cell>
          <cell r="M83" t="str">
            <v>Y</v>
          </cell>
          <cell r="N83" t="str">
            <v>Y</v>
          </cell>
          <cell r="O83" t="str">
            <v>Y</v>
          </cell>
          <cell r="P83" t="str">
            <v>G</v>
          </cell>
          <cell r="Q83" t="str">
            <v>O</v>
          </cell>
          <cell r="R83" t="str">
            <v>PR-INS</v>
          </cell>
        </row>
        <row r="84">
          <cell r="A84">
            <v>314678</v>
          </cell>
          <cell r="B84" t="str">
            <v>-</v>
          </cell>
          <cell r="C84">
            <v>182</v>
          </cell>
          <cell r="D84" t="str">
            <v>205/60 R16</v>
          </cell>
          <cell r="E84">
            <v>92</v>
          </cell>
          <cell r="F84" t="str">
            <v>V</v>
          </cell>
          <cell r="G84" t="str">
            <v>ECOCONTACT 6</v>
          </cell>
          <cell r="H84">
            <v>314678</v>
          </cell>
          <cell r="I84">
            <v>52209</v>
          </cell>
          <cell r="J84">
            <v>39</v>
          </cell>
          <cell r="K84" t="str">
            <v>P4</v>
          </cell>
          <cell r="L84" t="str">
            <v>YYYOG</v>
          </cell>
          <cell r="M84" t="str">
            <v>Y</v>
          </cell>
          <cell r="N84" t="str">
            <v>Y</v>
          </cell>
          <cell r="O84" t="str">
            <v>Y</v>
          </cell>
          <cell r="P84" t="str">
            <v>O</v>
          </cell>
          <cell r="Q84" t="str">
            <v>G</v>
          </cell>
          <cell r="R84" t="str">
            <v>PR-INS</v>
          </cell>
        </row>
        <row r="85">
          <cell r="A85">
            <v>314681</v>
          </cell>
          <cell r="B85" t="str">
            <v>-</v>
          </cell>
          <cell r="C85">
            <v>2036</v>
          </cell>
          <cell r="D85" t="str">
            <v>205/55 R17</v>
          </cell>
          <cell r="E85">
            <v>91</v>
          </cell>
          <cell r="F85" t="str">
            <v>V</v>
          </cell>
          <cell r="G85" t="str">
            <v>ECOCONTACT 6 VW</v>
          </cell>
          <cell r="H85">
            <v>314681</v>
          </cell>
          <cell r="I85">
            <v>52411</v>
          </cell>
          <cell r="J85">
            <v>39</v>
          </cell>
          <cell r="K85" t="str">
            <v>P4</v>
          </cell>
          <cell r="L85" t="str">
            <v>YRG</v>
          </cell>
          <cell r="M85" t="str">
            <v>Y</v>
          </cell>
          <cell r="N85" t="str">
            <v>R</v>
          </cell>
          <cell r="O85" t="str">
            <v>G</v>
          </cell>
          <cell r="P85" t="str">
            <v/>
          </cell>
          <cell r="Q85" t="str">
            <v/>
          </cell>
          <cell r="R85" t="str">
            <v>PR-INS</v>
          </cell>
        </row>
        <row r="86">
          <cell r="A86">
            <v>314710</v>
          </cell>
          <cell r="B86" t="str">
            <v>-</v>
          </cell>
          <cell r="C86">
            <v>4136</v>
          </cell>
          <cell r="D86" t="str">
            <v>205/55 R17</v>
          </cell>
          <cell r="E86">
            <v>95</v>
          </cell>
          <cell r="F86" t="str">
            <v>H</v>
          </cell>
          <cell r="G86" t="str">
            <v>ECOCONTACT 6 RENAULT XL</v>
          </cell>
          <cell r="H86">
            <v>314710</v>
          </cell>
          <cell r="I86">
            <v>52319</v>
          </cell>
          <cell r="J86">
            <v>27</v>
          </cell>
          <cell r="K86" t="str">
            <v>P4</v>
          </cell>
          <cell r="L86" t="str">
            <v>OOOO</v>
          </cell>
          <cell r="M86" t="str">
            <v>O</v>
          </cell>
          <cell r="N86" t="str">
            <v>O</v>
          </cell>
          <cell r="O86" t="str">
            <v>O</v>
          </cell>
          <cell r="P86" t="str">
            <v>O</v>
          </cell>
          <cell r="Q86" t="str">
            <v/>
          </cell>
          <cell r="R86" t="str">
            <v>PR-1HH</v>
          </cell>
        </row>
        <row r="87">
          <cell r="A87">
            <v>314734</v>
          </cell>
          <cell r="B87" t="str">
            <v>-</v>
          </cell>
          <cell r="C87">
            <v>3033</v>
          </cell>
          <cell r="D87" t="str">
            <v>225/55 R19</v>
          </cell>
          <cell r="E87">
            <v>103</v>
          </cell>
          <cell r="F87" t="str">
            <v>V</v>
          </cell>
          <cell r="G87" t="str">
            <v>PC6 FORD XL</v>
          </cell>
          <cell r="H87">
            <v>314734</v>
          </cell>
          <cell r="I87">
            <v>52626</v>
          </cell>
          <cell r="J87">
            <v>12</v>
          </cell>
          <cell r="K87" t="str">
            <v>P4</v>
          </cell>
          <cell r="L87" t="str">
            <v>AAARG</v>
          </cell>
          <cell r="M87" t="str">
            <v>A</v>
          </cell>
          <cell r="N87" t="str">
            <v>A</v>
          </cell>
          <cell r="O87" t="str">
            <v>A</v>
          </cell>
          <cell r="P87" t="str">
            <v>R</v>
          </cell>
          <cell r="Q87" t="str">
            <v>G</v>
          </cell>
          <cell r="R87" t="str">
            <v>PR-1HH</v>
          </cell>
        </row>
        <row r="88">
          <cell r="A88">
            <v>314991</v>
          </cell>
          <cell r="B88" t="str">
            <v>-</v>
          </cell>
          <cell r="C88">
            <v>2076</v>
          </cell>
          <cell r="D88" t="str">
            <v>205/55 R16</v>
          </cell>
          <cell r="E88">
            <v>91</v>
          </cell>
          <cell r="F88" t="str">
            <v>V</v>
          </cell>
          <cell r="G88" t="str">
            <v>ECOCONTACT 6</v>
          </cell>
          <cell r="H88">
            <v>314991</v>
          </cell>
          <cell r="I88">
            <v>52025</v>
          </cell>
          <cell r="J88">
            <v>0</v>
          </cell>
          <cell r="K88" t="str">
            <v>P4</v>
          </cell>
          <cell r="L88" t="str">
            <v>OOYRY</v>
          </cell>
          <cell r="M88" t="str">
            <v>O</v>
          </cell>
          <cell r="N88" t="str">
            <v>O</v>
          </cell>
          <cell r="O88" t="str">
            <v>Y</v>
          </cell>
          <cell r="P88" t="str">
            <v>R</v>
          </cell>
          <cell r="Q88" t="str">
            <v>Y</v>
          </cell>
          <cell r="R88" t="str">
            <v>-</v>
          </cell>
        </row>
        <row r="89">
          <cell r="A89">
            <v>315022</v>
          </cell>
          <cell r="B89" t="str">
            <v>-</v>
          </cell>
          <cell r="C89">
            <v>6181</v>
          </cell>
          <cell r="D89" t="str">
            <v>205/45 R17</v>
          </cell>
          <cell r="E89">
            <v>88</v>
          </cell>
          <cell r="F89" t="str">
            <v>V</v>
          </cell>
          <cell r="G89" t="str">
            <v>ECOCONTACT 6 XL</v>
          </cell>
          <cell r="H89">
            <v>315022</v>
          </cell>
          <cell r="I89">
            <v>52537</v>
          </cell>
          <cell r="J89">
            <v>11</v>
          </cell>
          <cell r="K89" t="str">
            <v>P4</v>
          </cell>
          <cell r="L89" t="str">
            <v>YWWG</v>
          </cell>
          <cell r="M89" t="str">
            <v>Y</v>
          </cell>
          <cell r="N89" t="str">
            <v>W</v>
          </cell>
          <cell r="O89" t="str">
            <v>W</v>
          </cell>
          <cell r="P89" t="str">
            <v>G</v>
          </cell>
          <cell r="Q89" t="str">
            <v/>
          </cell>
          <cell r="R89" t="str">
            <v>-</v>
          </cell>
        </row>
        <row r="90">
          <cell r="A90">
            <v>315150</v>
          </cell>
          <cell r="B90" t="str">
            <v>-</v>
          </cell>
          <cell r="C90">
            <v>6003</v>
          </cell>
          <cell r="D90" t="str">
            <v>215/55 R18</v>
          </cell>
          <cell r="E90">
            <v>99</v>
          </cell>
          <cell r="F90" t="str">
            <v>H</v>
          </cell>
          <cell r="G90" t="str">
            <v>ECOCONTACT 7S NISSAN XL</v>
          </cell>
          <cell r="H90">
            <v>315150</v>
          </cell>
          <cell r="I90">
            <v>52468</v>
          </cell>
          <cell r="J90">
            <v>23</v>
          </cell>
          <cell r="K90" t="str">
            <v>P5</v>
          </cell>
          <cell r="L90" t="str">
            <v>OOO</v>
          </cell>
          <cell r="M90" t="str">
            <v>O</v>
          </cell>
          <cell r="N90" t="str">
            <v>O</v>
          </cell>
          <cell r="O90" t="str">
            <v>O</v>
          </cell>
          <cell r="P90" t="str">
            <v/>
          </cell>
          <cell r="Q90" t="str">
            <v/>
          </cell>
          <cell r="R90" t="str">
            <v>PR-1HH</v>
          </cell>
        </row>
        <row r="91">
          <cell r="A91">
            <v>315214</v>
          </cell>
          <cell r="B91" t="str">
            <v>-</v>
          </cell>
          <cell r="C91">
            <v>6001</v>
          </cell>
          <cell r="D91" t="str">
            <v>205/60 R16</v>
          </cell>
          <cell r="E91">
            <v>96</v>
          </cell>
          <cell r="F91" t="str">
            <v>H</v>
          </cell>
          <cell r="G91" t="str">
            <v>ECOCONTACT 7S XL</v>
          </cell>
          <cell r="H91">
            <v>315214</v>
          </cell>
          <cell r="I91">
            <v>52808</v>
          </cell>
          <cell r="J91">
            <v>27</v>
          </cell>
          <cell r="K91" t="str">
            <v>P0</v>
          </cell>
          <cell r="L91" t="str">
            <v>GROAG</v>
          </cell>
          <cell r="M91" t="str">
            <v>G</v>
          </cell>
          <cell r="N91" t="str">
            <v>R</v>
          </cell>
          <cell r="O91" t="str">
            <v>O</v>
          </cell>
          <cell r="P91" t="str">
            <v>A</v>
          </cell>
          <cell r="Q91" t="str">
            <v>G</v>
          </cell>
          <cell r="R91" t="str">
            <v>PR-1HH</v>
          </cell>
        </row>
        <row r="92">
          <cell r="A92">
            <v>315215</v>
          </cell>
          <cell r="B92" t="str">
            <v>-</v>
          </cell>
          <cell r="C92">
            <v>5013</v>
          </cell>
          <cell r="D92" t="str">
            <v>205/55 R17</v>
          </cell>
          <cell r="E92">
            <v>95</v>
          </cell>
          <cell r="F92" t="str">
            <v>H</v>
          </cell>
          <cell r="G92" t="str">
            <v>ECOCONTACT 7S XL</v>
          </cell>
          <cell r="H92">
            <v>315215</v>
          </cell>
          <cell r="I92">
            <v>52750</v>
          </cell>
          <cell r="J92">
            <v>27</v>
          </cell>
          <cell r="K92" t="str">
            <v>P0</v>
          </cell>
          <cell r="L92" t="str">
            <v>OYAAY</v>
          </cell>
          <cell r="M92" t="str">
            <v>O</v>
          </cell>
          <cell r="N92" t="str">
            <v>Y</v>
          </cell>
          <cell r="O92" t="str">
            <v>A</v>
          </cell>
          <cell r="P92" t="str">
            <v>A</v>
          </cell>
          <cell r="Q92" t="str">
            <v>Y</v>
          </cell>
          <cell r="R92" t="str">
            <v>PR-1HH</v>
          </cell>
        </row>
        <row r="93">
          <cell r="A93">
            <v>315216</v>
          </cell>
          <cell r="B93" t="str">
            <v>-</v>
          </cell>
          <cell r="C93">
            <v>6015</v>
          </cell>
          <cell r="D93" t="str">
            <v>185/50 R16</v>
          </cell>
          <cell r="E93">
            <v>81</v>
          </cell>
          <cell r="F93" t="str">
            <v>V</v>
          </cell>
          <cell r="G93" t="str">
            <v>CPC</v>
          </cell>
          <cell r="H93">
            <v>315216</v>
          </cell>
          <cell r="I93">
            <v>52662</v>
          </cell>
          <cell r="J93">
            <v>0</v>
          </cell>
          <cell r="K93" t="str">
            <v>P2</v>
          </cell>
          <cell r="L93" t="str">
            <v>YYYOO</v>
          </cell>
          <cell r="M93" t="str">
            <v>Y</v>
          </cell>
          <cell r="N93" t="str">
            <v>Y</v>
          </cell>
          <cell r="O93" t="str">
            <v>Y</v>
          </cell>
          <cell r="P93" t="str">
            <v>O</v>
          </cell>
          <cell r="Q93" t="str">
            <v>O</v>
          </cell>
          <cell r="R93" t="str">
            <v>-</v>
          </cell>
        </row>
        <row r="94">
          <cell r="A94">
            <v>315391</v>
          </cell>
          <cell r="B94" t="str">
            <v>-</v>
          </cell>
          <cell r="C94">
            <v>6155</v>
          </cell>
          <cell r="D94" t="str">
            <v>245/45 R17</v>
          </cell>
          <cell r="E94">
            <v>99</v>
          </cell>
          <cell r="F94" t="str">
            <v>Y</v>
          </cell>
          <cell r="G94" t="str">
            <v>CSC5 XL</v>
          </cell>
          <cell r="H94">
            <v>315391</v>
          </cell>
          <cell r="I94">
            <v>52605</v>
          </cell>
          <cell r="J94">
            <v>0</v>
          </cell>
          <cell r="K94" t="str">
            <v>R2</v>
          </cell>
          <cell r="L94" t="str">
            <v>GRGGW</v>
          </cell>
          <cell r="M94" t="str">
            <v>G</v>
          </cell>
          <cell r="N94" t="str">
            <v>R</v>
          </cell>
          <cell r="O94" t="str">
            <v>G</v>
          </cell>
          <cell r="P94" t="str">
            <v>G</v>
          </cell>
          <cell r="Q94" t="str">
            <v>W</v>
          </cell>
          <cell r="R94" t="str">
            <v>-</v>
          </cell>
        </row>
        <row r="95">
          <cell r="A95">
            <v>315422</v>
          </cell>
          <cell r="B95" t="str">
            <v>-</v>
          </cell>
          <cell r="C95">
            <v>3065</v>
          </cell>
          <cell r="D95" t="str">
            <v>205/60 R16</v>
          </cell>
          <cell r="E95">
            <v>92</v>
          </cell>
          <cell r="F95" t="str">
            <v>W</v>
          </cell>
          <cell r="G95" t="str">
            <v>CEC5 AUDI</v>
          </cell>
          <cell r="H95">
            <v>315422</v>
          </cell>
          <cell r="I95">
            <v>52807</v>
          </cell>
          <cell r="J95">
            <v>2</v>
          </cell>
          <cell r="K95" t="str">
            <v>P4</v>
          </cell>
          <cell r="L95" t="str">
            <v>WYYY</v>
          </cell>
          <cell r="M95" t="str">
            <v>W</v>
          </cell>
          <cell r="N95" t="str">
            <v>Y</v>
          </cell>
          <cell r="O95" t="str">
            <v>Y</v>
          </cell>
          <cell r="P95" t="str">
            <v>Y</v>
          </cell>
          <cell r="Q95" t="str">
            <v/>
          </cell>
          <cell r="R95" t="str">
            <v>-</v>
          </cell>
        </row>
        <row r="96">
          <cell r="A96">
            <v>315575</v>
          </cell>
          <cell r="B96" t="str">
            <v>-</v>
          </cell>
          <cell r="C96">
            <v>3155</v>
          </cell>
          <cell r="D96" t="str">
            <v>205/45 R17</v>
          </cell>
          <cell r="E96">
            <v>88</v>
          </cell>
          <cell r="F96" t="str">
            <v>H</v>
          </cell>
          <cell r="G96" t="str">
            <v>ECOCONTACT 6 REN XL</v>
          </cell>
          <cell r="H96">
            <v>315575</v>
          </cell>
          <cell r="I96">
            <v>52288</v>
          </cell>
          <cell r="J96">
            <v>27</v>
          </cell>
          <cell r="K96" t="str">
            <v>P4</v>
          </cell>
          <cell r="L96" t="str">
            <v>OA</v>
          </cell>
          <cell r="M96" t="str">
            <v>O</v>
          </cell>
          <cell r="N96" t="str">
            <v>A</v>
          </cell>
          <cell r="O96" t="str">
            <v/>
          </cell>
          <cell r="P96" t="str">
            <v/>
          </cell>
          <cell r="Q96" t="str">
            <v/>
          </cell>
          <cell r="R96" t="str">
            <v>PR-1HH</v>
          </cell>
        </row>
        <row r="97">
          <cell r="A97">
            <v>315610</v>
          </cell>
          <cell r="B97" t="str">
            <v>-</v>
          </cell>
          <cell r="C97">
            <v>3035</v>
          </cell>
          <cell r="D97" t="str">
            <v>165/80 R15</v>
          </cell>
          <cell r="E97">
            <v>87</v>
          </cell>
          <cell r="F97" t="str">
            <v>T</v>
          </cell>
          <cell r="G97" t="str">
            <v>CT22</v>
          </cell>
          <cell r="H97">
            <v>315610</v>
          </cell>
          <cell r="I97">
            <v>52879</v>
          </cell>
          <cell r="J97">
            <v>0</v>
          </cell>
          <cell r="K97" t="str">
            <v>P7</v>
          </cell>
          <cell r="L97" t="str">
            <v>AAOG</v>
          </cell>
          <cell r="M97" t="str">
            <v>A</v>
          </cell>
          <cell r="N97" t="str">
            <v>A</v>
          </cell>
          <cell r="O97" t="str">
            <v>O</v>
          </cell>
          <cell r="P97" t="str">
            <v>G</v>
          </cell>
          <cell r="Q97" t="str">
            <v/>
          </cell>
          <cell r="R97" t="str">
            <v>-</v>
          </cell>
        </row>
        <row r="98">
          <cell r="A98">
            <v>315614</v>
          </cell>
          <cell r="B98" t="str">
            <v>-</v>
          </cell>
          <cell r="C98">
            <v>3138</v>
          </cell>
          <cell r="D98" t="str">
            <v>235/55 R17</v>
          </cell>
          <cell r="E98">
            <v>103</v>
          </cell>
          <cell r="F98" t="str">
            <v>W</v>
          </cell>
          <cell r="G98" t="str">
            <v>CPC5 XL</v>
          </cell>
          <cell r="H98">
            <v>315614</v>
          </cell>
          <cell r="I98">
            <v>52749</v>
          </cell>
          <cell r="J98">
            <v>0</v>
          </cell>
          <cell r="K98" t="str">
            <v>P4</v>
          </cell>
          <cell r="L98" t="str">
            <v>YRYY</v>
          </cell>
          <cell r="M98" t="str">
            <v>Y</v>
          </cell>
          <cell r="N98" t="str">
            <v>R</v>
          </cell>
          <cell r="O98" t="str">
            <v>Y</v>
          </cell>
          <cell r="P98" t="str">
            <v>Y</v>
          </cell>
          <cell r="Q98" t="str">
            <v/>
          </cell>
          <cell r="R98" t="str">
            <v>-</v>
          </cell>
        </row>
        <row r="99">
          <cell r="A99">
            <v>315783</v>
          </cell>
          <cell r="B99" t="str">
            <v>-</v>
          </cell>
          <cell r="C99">
            <v>2037</v>
          </cell>
          <cell r="D99" t="str">
            <v>235/60 R17</v>
          </cell>
          <cell r="E99">
            <v>102</v>
          </cell>
          <cell r="F99" t="str">
            <v>V</v>
          </cell>
          <cell r="G99" t="str">
            <v>PC6</v>
          </cell>
          <cell r="H99">
            <v>315783</v>
          </cell>
          <cell r="I99">
            <v>52540</v>
          </cell>
          <cell r="J99">
            <v>40</v>
          </cell>
          <cell r="K99" t="str">
            <v>P4</v>
          </cell>
          <cell r="L99" t="str">
            <v>AWRRR</v>
          </cell>
          <cell r="M99" t="str">
            <v>A</v>
          </cell>
          <cell r="N99" t="str">
            <v>W</v>
          </cell>
          <cell r="O99" t="str">
            <v>R</v>
          </cell>
          <cell r="P99" t="str">
            <v>R</v>
          </cell>
          <cell r="Q99" t="str">
            <v>R</v>
          </cell>
          <cell r="R99" t="str">
            <v>-</v>
          </cell>
        </row>
        <row r="100">
          <cell r="A100">
            <v>315828</v>
          </cell>
          <cell r="B100" t="str">
            <v>-</v>
          </cell>
          <cell r="C100">
            <v>2001</v>
          </cell>
          <cell r="D100" t="str">
            <v>235/55 R17</v>
          </cell>
          <cell r="E100">
            <v>103</v>
          </cell>
          <cell r="F100" t="str">
            <v>V</v>
          </cell>
          <cell r="G100" t="str">
            <v>CEC5 XL</v>
          </cell>
          <cell r="H100">
            <v>315828</v>
          </cell>
          <cell r="I100">
            <v>52480</v>
          </cell>
          <cell r="J100">
            <v>0</v>
          </cell>
          <cell r="K100" t="str">
            <v>P0</v>
          </cell>
          <cell r="L100" t="str">
            <v>AAWY</v>
          </cell>
          <cell r="M100" t="str">
            <v>A</v>
          </cell>
          <cell r="N100" t="str">
            <v>A</v>
          </cell>
          <cell r="O100" t="str">
            <v>W</v>
          </cell>
          <cell r="P100" t="str">
            <v>Y</v>
          </cell>
          <cell r="Q100" t="str">
            <v/>
          </cell>
          <cell r="R100" t="str">
            <v>-</v>
          </cell>
        </row>
        <row r="101">
          <cell r="A101">
            <v>315844</v>
          </cell>
          <cell r="B101" t="str">
            <v>-</v>
          </cell>
          <cell r="C101">
            <v>96</v>
          </cell>
          <cell r="D101" t="str">
            <v>235/50 R19</v>
          </cell>
          <cell r="E101">
            <v>99</v>
          </cell>
          <cell r="F101" t="str">
            <v>V</v>
          </cell>
          <cell r="G101" t="str">
            <v>CSC5</v>
          </cell>
          <cell r="H101">
            <v>315844</v>
          </cell>
          <cell r="I101">
            <v>52607</v>
          </cell>
          <cell r="J101">
            <v>0</v>
          </cell>
          <cell r="K101" t="str">
            <v>P7</v>
          </cell>
          <cell r="L101" t="str">
            <v>AOW</v>
          </cell>
          <cell r="M101" t="str">
            <v>A</v>
          </cell>
          <cell r="N101" t="str">
            <v>O</v>
          </cell>
          <cell r="O101" t="str">
            <v>W</v>
          </cell>
          <cell r="P101" t="str">
            <v/>
          </cell>
          <cell r="Q101" t="str">
            <v/>
          </cell>
          <cell r="R101" t="str">
            <v>-</v>
          </cell>
        </row>
        <row r="102">
          <cell r="A102">
            <v>315876</v>
          </cell>
          <cell r="B102" t="str">
            <v>-</v>
          </cell>
          <cell r="C102">
            <v>3183</v>
          </cell>
          <cell r="D102" t="str">
            <v>195/45 R16</v>
          </cell>
          <cell r="E102">
            <v>84</v>
          </cell>
          <cell r="F102" t="str">
            <v>V</v>
          </cell>
          <cell r="G102" t="str">
            <v>CONTI.ECONTACT 5</v>
          </cell>
          <cell r="H102">
            <v>315876</v>
          </cell>
          <cell r="I102">
            <v>52340</v>
          </cell>
          <cell r="J102">
            <v>0</v>
          </cell>
          <cell r="K102" t="str">
            <v>P8</v>
          </cell>
          <cell r="L102" t="str">
            <v>AWA</v>
          </cell>
          <cell r="M102" t="str">
            <v>A</v>
          </cell>
          <cell r="N102" t="str">
            <v>W</v>
          </cell>
          <cell r="O102" t="str">
            <v>A</v>
          </cell>
          <cell r="P102" t="str">
            <v/>
          </cell>
          <cell r="Q102" t="str">
            <v/>
          </cell>
          <cell r="R102" t="str">
            <v>-</v>
          </cell>
        </row>
        <row r="103">
          <cell r="A103">
            <v>316608</v>
          </cell>
          <cell r="B103" t="str">
            <v>-</v>
          </cell>
          <cell r="C103">
            <v>2027</v>
          </cell>
          <cell r="D103" t="str">
            <v>235/45 R19</v>
          </cell>
          <cell r="E103">
            <v>99</v>
          </cell>
          <cell r="F103" t="str">
            <v>V</v>
          </cell>
          <cell r="G103" t="str">
            <v>ECOCONTACT 7S XL</v>
          </cell>
          <cell r="H103">
            <v>316608</v>
          </cell>
          <cell r="I103">
            <v>52227</v>
          </cell>
          <cell r="J103">
            <v>23</v>
          </cell>
          <cell r="K103" t="str">
            <v>P5</v>
          </cell>
          <cell r="L103" t="str">
            <v>AWRA</v>
          </cell>
          <cell r="M103" t="str">
            <v>A</v>
          </cell>
          <cell r="N103" t="str">
            <v>W</v>
          </cell>
          <cell r="O103" t="str">
            <v>R</v>
          </cell>
          <cell r="P103" t="str">
            <v>A</v>
          </cell>
          <cell r="Q103" t="str">
            <v/>
          </cell>
          <cell r="R103" t="str">
            <v>PR-1HH</v>
          </cell>
        </row>
        <row r="104">
          <cell r="A104">
            <v>316819</v>
          </cell>
          <cell r="B104" t="str">
            <v>-</v>
          </cell>
          <cell r="C104">
            <v>2142</v>
          </cell>
          <cell r="D104" t="str">
            <v>225/55 R19</v>
          </cell>
          <cell r="E104">
            <v>99</v>
          </cell>
          <cell r="F104" t="str">
            <v>V</v>
          </cell>
          <cell r="G104" t="str">
            <v>ALLSEASON ASC2</v>
          </cell>
          <cell r="H104">
            <v>316819</v>
          </cell>
          <cell r="I104">
            <v>52560</v>
          </cell>
          <cell r="J104">
            <v>0</v>
          </cell>
          <cell r="K104" t="str">
            <v>P2</v>
          </cell>
          <cell r="L104" t="str">
            <v>AWRRR</v>
          </cell>
          <cell r="M104" t="str">
            <v>A</v>
          </cell>
          <cell r="N104" t="str">
            <v>W</v>
          </cell>
          <cell r="O104" t="str">
            <v>R</v>
          </cell>
          <cell r="P104" t="str">
            <v>R</v>
          </cell>
          <cell r="Q104" t="str">
            <v>R</v>
          </cell>
          <cell r="R104" t="str">
            <v>-</v>
          </cell>
        </row>
        <row r="105">
          <cell r="A105">
            <v>320024</v>
          </cell>
          <cell r="B105">
            <v>999</v>
          </cell>
          <cell r="C105">
            <v>58001</v>
          </cell>
          <cell r="D105" t="str">
            <v>205/40 R18</v>
          </cell>
          <cell r="E105">
            <v>86</v>
          </cell>
          <cell r="F105" t="str">
            <v>V</v>
          </cell>
          <cell r="G105" t="str">
            <v>TS870P XL</v>
          </cell>
          <cell r="H105">
            <v>320024</v>
          </cell>
          <cell r="I105">
            <v>52169</v>
          </cell>
          <cell r="J105">
            <v>0</v>
          </cell>
          <cell r="K105" t="str">
            <v>P4</v>
          </cell>
          <cell r="L105" t="str">
            <v>AAAGO</v>
          </cell>
          <cell r="M105" t="str">
            <v>A</v>
          </cell>
          <cell r="N105" t="str">
            <v>A</v>
          </cell>
          <cell r="O105" t="str">
            <v>A</v>
          </cell>
          <cell r="P105" t="str">
            <v>G</v>
          </cell>
          <cell r="Q105" t="str">
            <v>O</v>
          </cell>
          <cell r="R105" t="str">
            <v>-</v>
          </cell>
        </row>
        <row r="106">
          <cell r="A106">
            <v>320106</v>
          </cell>
          <cell r="B106" t="str">
            <v>-</v>
          </cell>
          <cell r="C106">
            <v>58009</v>
          </cell>
          <cell r="D106" t="str">
            <v>245/40 R18</v>
          </cell>
          <cell r="E106">
            <v>97</v>
          </cell>
          <cell r="F106" t="str">
            <v>V</v>
          </cell>
          <cell r="G106" t="str">
            <v>ALLSEASON XL</v>
          </cell>
          <cell r="H106">
            <v>320106</v>
          </cell>
          <cell r="I106">
            <v>52915</v>
          </cell>
          <cell r="J106">
            <v>0</v>
          </cell>
          <cell r="K106" t="str">
            <v>P2</v>
          </cell>
          <cell r="L106" t="str">
            <v>YAWGR</v>
          </cell>
          <cell r="M106" t="str">
            <v>Y</v>
          </cell>
          <cell r="N106" t="str">
            <v>A</v>
          </cell>
          <cell r="O106" t="str">
            <v>W</v>
          </cell>
          <cell r="P106" t="str">
            <v>G</v>
          </cell>
          <cell r="Q106" t="str">
            <v>R</v>
          </cell>
          <cell r="R106" t="str">
            <v>-</v>
          </cell>
        </row>
        <row r="107">
          <cell r="A107">
            <v>320110</v>
          </cell>
          <cell r="B107" t="str">
            <v>-</v>
          </cell>
          <cell r="C107">
            <v>2071</v>
          </cell>
          <cell r="D107" t="str">
            <v>235/50 R19</v>
          </cell>
          <cell r="E107">
            <v>103</v>
          </cell>
          <cell r="F107" t="str">
            <v>V</v>
          </cell>
          <cell r="G107" t="str">
            <v>ALLSEASON CONTACT2 XL</v>
          </cell>
          <cell r="H107">
            <v>320110</v>
          </cell>
          <cell r="I107">
            <v>52890</v>
          </cell>
          <cell r="J107">
            <v>0</v>
          </cell>
          <cell r="K107" t="str">
            <v>P2</v>
          </cell>
          <cell r="L107" t="str">
            <v>OWY</v>
          </cell>
          <cell r="M107" t="str">
            <v>O</v>
          </cell>
          <cell r="N107" t="str">
            <v>W</v>
          </cell>
          <cell r="O107" t="str">
            <v>Y</v>
          </cell>
          <cell r="P107" t="str">
            <v/>
          </cell>
          <cell r="Q107" t="str">
            <v/>
          </cell>
          <cell r="R107" t="str">
            <v>-</v>
          </cell>
        </row>
        <row r="108">
          <cell r="A108">
            <v>320119</v>
          </cell>
          <cell r="B108" t="str">
            <v>-</v>
          </cell>
          <cell r="C108">
            <v>5043</v>
          </cell>
          <cell r="D108" t="str">
            <v>225/45 R18</v>
          </cell>
          <cell r="E108">
            <v>95</v>
          </cell>
          <cell r="F108" t="str">
            <v>Y</v>
          </cell>
          <cell r="G108" t="str">
            <v>ALLSEASON CONTACT2 XL</v>
          </cell>
          <cell r="H108">
            <v>320119</v>
          </cell>
          <cell r="I108">
            <v>52727</v>
          </cell>
          <cell r="J108">
            <v>0</v>
          </cell>
          <cell r="K108" t="str">
            <v>P2</v>
          </cell>
          <cell r="L108" t="str">
            <v>RRWWA</v>
          </cell>
          <cell r="M108" t="str">
            <v>R</v>
          </cell>
          <cell r="N108" t="str">
            <v>R</v>
          </cell>
          <cell r="O108" t="str">
            <v>W</v>
          </cell>
          <cell r="P108" t="str">
            <v>W</v>
          </cell>
          <cell r="Q108" t="str">
            <v>A</v>
          </cell>
          <cell r="R108" t="str">
            <v>-</v>
          </cell>
        </row>
        <row r="109">
          <cell r="A109">
            <v>320121</v>
          </cell>
          <cell r="B109" t="str">
            <v>-</v>
          </cell>
          <cell r="C109">
            <v>5008</v>
          </cell>
          <cell r="D109" t="str">
            <v>215/55 R17</v>
          </cell>
          <cell r="E109">
            <v>98</v>
          </cell>
          <cell r="F109" t="str">
            <v>V</v>
          </cell>
          <cell r="G109" t="str">
            <v>ALLSEASON CONTACT2 XL</v>
          </cell>
          <cell r="H109">
            <v>320121</v>
          </cell>
          <cell r="I109">
            <v>52402</v>
          </cell>
          <cell r="J109">
            <v>0</v>
          </cell>
          <cell r="K109" t="str">
            <v>P2</v>
          </cell>
          <cell r="L109" t="str">
            <v>AARAO</v>
          </cell>
          <cell r="M109" t="str">
            <v>A</v>
          </cell>
          <cell r="N109" t="str">
            <v>A</v>
          </cell>
          <cell r="O109" t="str">
            <v>R</v>
          </cell>
          <cell r="P109" t="str">
            <v>A</v>
          </cell>
          <cell r="Q109" t="str">
            <v>O</v>
          </cell>
          <cell r="R109" t="str">
            <v>-</v>
          </cell>
        </row>
        <row r="110">
          <cell r="A110">
            <v>320123</v>
          </cell>
          <cell r="B110" t="str">
            <v>-</v>
          </cell>
          <cell r="C110">
            <v>5351</v>
          </cell>
          <cell r="D110" t="str">
            <v>185/65 R15</v>
          </cell>
          <cell r="E110">
            <v>88</v>
          </cell>
          <cell r="F110" t="str">
            <v>T</v>
          </cell>
          <cell r="G110" t="str">
            <v>ALLSEASON CONTACT</v>
          </cell>
          <cell r="H110">
            <v>320123</v>
          </cell>
          <cell r="I110">
            <v>52118</v>
          </cell>
          <cell r="J110">
            <v>0</v>
          </cell>
          <cell r="K110" t="str">
            <v>P2</v>
          </cell>
          <cell r="L110" t="str">
            <v>OAWWA</v>
          </cell>
          <cell r="M110" t="str">
            <v>O</v>
          </cell>
          <cell r="N110" t="str">
            <v>A</v>
          </cell>
          <cell r="O110" t="str">
            <v>W</v>
          </cell>
          <cell r="P110" t="str">
            <v>W</v>
          </cell>
          <cell r="Q110" t="str">
            <v>A</v>
          </cell>
          <cell r="R110" t="str">
            <v>-</v>
          </cell>
        </row>
        <row r="111">
          <cell r="A111">
            <v>320124</v>
          </cell>
          <cell r="B111" t="str">
            <v>-</v>
          </cell>
          <cell r="C111">
            <v>3286</v>
          </cell>
          <cell r="D111" t="str">
            <v>195/65 R15</v>
          </cell>
          <cell r="E111">
            <v>95</v>
          </cell>
          <cell r="F111" t="str">
            <v>H</v>
          </cell>
          <cell r="G111" t="str">
            <v>ALLSEASON CONTACT2 XL</v>
          </cell>
          <cell r="H111">
            <v>320124</v>
          </cell>
          <cell r="I111">
            <v>52506</v>
          </cell>
          <cell r="J111">
            <v>0</v>
          </cell>
          <cell r="K111" t="str">
            <v>P3</v>
          </cell>
          <cell r="L111" t="str">
            <v>YGWAY</v>
          </cell>
          <cell r="M111" t="str">
            <v>Y</v>
          </cell>
          <cell r="N111" t="str">
            <v>G</v>
          </cell>
          <cell r="O111" t="str">
            <v>W</v>
          </cell>
          <cell r="P111" t="str">
            <v>A</v>
          </cell>
          <cell r="Q111" t="str">
            <v>Y</v>
          </cell>
          <cell r="R111" t="str">
            <v>-</v>
          </cell>
        </row>
        <row r="112">
          <cell r="A112">
            <v>320131</v>
          </cell>
          <cell r="B112" t="str">
            <v>-</v>
          </cell>
          <cell r="C112">
            <v>3086</v>
          </cell>
          <cell r="D112" t="str">
            <v>195/65 R15</v>
          </cell>
          <cell r="E112">
            <v>91</v>
          </cell>
          <cell r="F112" t="str">
            <v>H</v>
          </cell>
          <cell r="G112" t="str">
            <v>ALLSEASON CONTACT2</v>
          </cell>
          <cell r="H112">
            <v>320131</v>
          </cell>
          <cell r="I112">
            <v>52516</v>
          </cell>
          <cell r="J112">
            <v>0</v>
          </cell>
          <cell r="K112" t="str">
            <v>P3</v>
          </cell>
          <cell r="L112" t="str">
            <v>AWYYY</v>
          </cell>
          <cell r="M112" t="str">
            <v>A</v>
          </cell>
          <cell r="N112" t="str">
            <v>W</v>
          </cell>
          <cell r="O112" t="str">
            <v>Y</v>
          </cell>
          <cell r="P112" t="str">
            <v>Y</v>
          </cell>
          <cell r="Q112" t="str">
            <v>Y</v>
          </cell>
          <cell r="R112" t="str">
            <v>-</v>
          </cell>
        </row>
        <row r="113">
          <cell r="A113">
            <v>320132</v>
          </cell>
          <cell r="B113" t="str">
            <v>-</v>
          </cell>
          <cell r="C113">
            <v>3186</v>
          </cell>
          <cell r="D113" t="str">
            <v>195/65 R15</v>
          </cell>
          <cell r="E113">
            <v>95</v>
          </cell>
          <cell r="F113" t="str">
            <v>V</v>
          </cell>
          <cell r="G113" t="str">
            <v>ALLSEASON CONTACT2</v>
          </cell>
          <cell r="H113">
            <v>320132</v>
          </cell>
          <cell r="I113">
            <v>52518</v>
          </cell>
          <cell r="J113">
            <v>0</v>
          </cell>
          <cell r="K113" t="str">
            <v>P3</v>
          </cell>
          <cell r="L113" t="str">
            <v>ROARR</v>
          </cell>
          <cell r="M113" t="str">
            <v>R</v>
          </cell>
          <cell r="N113" t="str">
            <v>O</v>
          </cell>
          <cell r="O113" t="str">
            <v>A</v>
          </cell>
          <cell r="P113" t="str">
            <v>R</v>
          </cell>
          <cell r="Q113" t="str">
            <v>R</v>
          </cell>
          <cell r="R113" t="str">
            <v>-</v>
          </cell>
        </row>
        <row r="114">
          <cell r="A114">
            <v>320136</v>
          </cell>
          <cell r="B114" t="str">
            <v>-</v>
          </cell>
          <cell r="C114">
            <v>2024</v>
          </cell>
          <cell r="D114" t="str">
            <v>185/60 R15</v>
          </cell>
          <cell r="E114">
            <v>88</v>
          </cell>
          <cell r="F114" t="str">
            <v>H</v>
          </cell>
          <cell r="G114" t="str">
            <v>ALLSEASON CONTACT2 XL</v>
          </cell>
          <cell r="H114">
            <v>320136</v>
          </cell>
          <cell r="I114">
            <v>52346</v>
          </cell>
          <cell r="J114">
            <v>0</v>
          </cell>
          <cell r="K114" t="str">
            <v>P2</v>
          </cell>
          <cell r="L114" t="str">
            <v>OOGAY</v>
          </cell>
          <cell r="M114" t="str">
            <v>O</v>
          </cell>
          <cell r="N114" t="str">
            <v>O</v>
          </cell>
          <cell r="O114" t="str">
            <v>G</v>
          </cell>
          <cell r="P114" t="str">
            <v>A</v>
          </cell>
          <cell r="Q114" t="str">
            <v>Y</v>
          </cell>
          <cell r="R114" t="str">
            <v>-</v>
          </cell>
        </row>
        <row r="115">
          <cell r="A115">
            <v>320144</v>
          </cell>
          <cell r="B115" t="str">
            <v>-</v>
          </cell>
          <cell r="C115">
            <v>2044</v>
          </cell>
          <cell r="D115" t="str">
            <v>215/50 R17</v>
          </cell>
          <cell r="E115">
            <v>95</v>
          </cell>
          <cell r="F115" t="str">
            <v>W</v>
          </cell>
          <cell r="G115" t="str">
            <v>ALLSEASON CONTACT2 XL</v>
          </cell>
          <cell r="H115">
            <v>320144</v>
          </cell>
          <cell r="I115">
            <v>52066</v>
          </cell>
          <cell r="J115">
            <v>0</v>
          </cell>
          <cell r="K115" t="str">
            <v>P2</v>
          </cell>
          <cell r="L115" t="str">
            <v>YYYAO</v>
          </cell>
          <cell r="M115" t="str">
            <v>Y</v>
          </cell>
          <cell r="N115" t="str">
            <v>Y</v>
          </cell>
          <cell r="O115" t="str">
            <v>Y</v>
          </cell>
          <cell r="P115" t="str">
            <v>A</v>
          </cell>
          <cell r="Q115" t="str">
            <v>O</v>
          </cell>
          <cell r="R115" t="str">
            <v>-</v>
          </cell>
        </row>
        <row r="116">
          <cell r="A116">
            <v>320154</v>
          </cell>
          <cell r="B116" t="str">
            <v>-</v>
          </cell>
          <cell r="C116">
            <v>6280</v>
          </cell>
          <cell r="D116" t="str">
            <v>225/55 R18</v>
          </cell>
          <cell r="E116">
            <v>98</v>
          </cell>
          <cell r="F116" t="str">
            <v>V</v>
          </cell>
          <cell r="G116" t="str">
            <v>ALLSEASON CONTACT2</v>
          </cell>
          <cell r="H116">
            <v>320154</v>
          </cell>
          <cell r="I116">
            <v>52434</v>
          </cell>
          <cell r="J116">
            <v>0</v>
          </cell>
          <cell r="K116" t="str">
            <v>P2</v>
          </cell>
          <cell r="L116" t="str">
            <v>AAAAG</v>
          </cell>
          <cell r="M116" t="str">
            <v>A</v>
          </cell>
          <cell r="N116" t="str">
            <v>A</v>
          </cell>
          <cell r="O116" t="str">
            <v>A</v>
          </cell>
          <cell r="P116" t="str">
            <v>A</v>
          </cell>
          <cell r="Q116" t="str">
            <v>G</v>
          </cell>
          <cell r="R116" t="str">
            <v>-</v>
          </cell>
        </row>
        <row r="117">
          <cell r="A117">
            <v>320155</v>
          </cell>
          <cell r="B117" t="str">
            <v>-</v>
          </cell>
          <cell r="C117">
            <v>3026</v>
          </cell>
          <cell r="D117" t="str">
            <v>235/50 R18</v>
          </cell>
          <cell r="E117">
            <v>101</v>
          </cell>
          <cell r="F117" t="str">
            <v>V</v>
          </cell>
          <cell r="G117" t="str">
            <v>ALLSEASON CONTACT2 XL</v>
          </cell>
          <cell r="H117">
            <v>320155</v>
          </cell>
          <cell r="I117">
            <v>52913</v>
          </cell>
          <cell r="J117">
            <v>0</v>
          </cell>
          <cell r="K117" t="str">
            <v>P2</v>
          </cell>
          <cell r="L117" t="str">
            <v>OYO</v>
          </cell>
          <cell r="M117" t="str">
            <v>O</v>
          </cell>
          <cell r="N117" t="str">
            <v>Y</v>
          </cell>
          <cell r="O117" t="str">
            <v>O</v>
          </cell>
          <cell r="P117" t="str">
            <v/>
          </cell>
          <cell r="Q117" t="str">
            <v/>
          </cell>
          <cell r="R117" t="str">
            <v>-</v>
          </cell>
        </row>
        <row r="118">
          <cell r="A118">
            <v>320157</v>
          </cell>
          <cell r="B118" t="str">
            <v>-</v>
          </cell>
          <cell r="C118">
            <v>58018</v>
          </cell>
          <cell r="D118" t="str">
            <v>245/40 R18</v>
          </cell>
          <cell r="E118">
            <v>97</v>
          </cell>
          <cell r="F118" t="str">
            <v>Y</v>
          </cell>
          <cell r="G118" t="str">
            <v>ALLSEASON CONTACT2 XL</v>
          </cell>
          <cell r="H118">
            <v>320157</v>
          </cell>
          <cell r="I118">
            <v>52497</v>
          </cell>
          <cell r="J118">
            <v>0</v>
          </cell>
          <cell r="K118" t="str">
            <v>P2</v>
          </cell>
          <cell r="L118" t="str">
            <v>YYYRG</v>
          </cell>
          <cell r="M118" t="str">
            <v>Y</v>
          </cell>
          <cell r="N118" t="str">
            <v>Y</v>
          </cell>
          <cell r="O118" t="str">
            <v>Y</v>
          </cell>
          <cell r="P118" t="str">
            <v>R</v>
          </cell>
          <cell r="Q118" t="str">
            <v>G</v>
          </cell>
          <cell r="R118" t="str">
            <v>-</v>
          </cell>
        </row>
        <row r="119">
          <cell r="A119">
            <v>320161</v>
          </cell>
          <cell r="B119" t="str">
            <v>-</v>
          </cell>
          <cell r="C119">
            <v>297</v>
          </cell>
          <cell r="D119" t="str">
            <v>205/55 R19</v>
          </cell>
          <cell r="E119">
            <v>97</v>
          </cell>
          <cell r="F119" t="str">
            <v>V</v>
          </cell>
          <cell r="G119" t="str">
            <v>ALLSEASON</v>
          </cell>
          <cell r="H119">
            <v>320161</v>
          </cell>
          <cell r="I119">
            <v>52740</v>
          </cell>
          <cell r="J119">
            <v>0</v>
          </cell>
          <cell r="K119" t="str">
            <v>P2</v>
          </cell>
          <cell r="L119" t="str">
            <v>OOOOO</v>
          </cell>
          <cell r="M119" t="str">
            <v>O</v>
          </cell>
          <cell r="N119" t="str">
            <v>O</v>
          </cell>
          <cell r="O119" t="str">
            <v>O</v>
          </cell>
          <cell r="P119" t="str">
            <v>O</v>
          </cell>
          <cell r="Q119" t="str">
            <v>O</v>
          </cell>
          <cell r="R119" t="str">
            <v>-</v>
          </cell>
        </row>
        <row r="120">
          <cell r="A120">
            <v>320162</v>
          </cell>
          <cell r="B120" t="str">
            <v>-</v>
          </cell>
          <cell r="C120">
            <v>2042</v>
          </cell>
          <cell r="D120" t="str">
            <v>225/55 R19</v>
          </cell>
          <cell r="E120">
            <v>99</v>
          </cell>
          <cell r="F120" t="str">
            <v>V</v>
          </cell>
          <cell r="G120" t="str">
            <v>ALLSEASON</v>
          </cell>
          <cell r="H120">
            <v>320162</v>
          </cell>
          <cell r="I120">
            <v>52661</v>
          </cell>
          <cell r="J120">
            <v>0</v>
          </cell>
          <cell r="K120" t="str">
            <v>P2</v>
          </cell>
          <cell r="L120" t="str">
            <v>ROGWA</v>
          </cell>
          <cell r="M120" t="str">
            <v>R</v>
          </cell>
          <cell r="N120" t="str">
            <v>O</v>
          </cell>
          <cell r="O120" t="str">
            <v>G</v>
          </cell>
          <cell r="P120" t="str">
            <v>W</v>
          </cell>
          <cell r="Q120" t="str">
            <v>A</v>
          </cell>
          <cell r="R120" t="str">
            <v>-</v>
          </cell>
        </row>
        <row r="121">
          <cell r="A121">
            <v>320186</v>
          </cell>
          <cell r="B121" t="str">
            <v>-</v>
          </cell>
          <cell r="C121">
            <v>3064</v>
          </cell>
          <cell r="D121" t="str">
            <v>235/50 R19</v>
          </cell>
          <cell r="E121">
            <v>103</v>
          </cell>
          <cell r="F121" t="str">
            <v>W</v>
          </cell>
          <cell r="G121" t="str">
            <v>ALLSEASON XL</v>
          </cell>
          <cell r="H121">
            <v>320186</v>
          </cell>
          <cell r="I121">
            <v>52464</v>
          </cell>
          <cell r="J121">
            <v>0</v>
          </cell>
          <cell r="K121" t="str">
            <v>P2</v>
          </cell>
          <cell r="L121" t="str">
            <v>AAAW</v>
          </cell>
          <cell r="M121" t="str">
            <v>A</v>
          </cell>
          <cell r="N121" t="str">
            <v>A</v>
          </cell>
          <cell r="O121" t="str">
            <v>A</v>
          </cell>
          <cell r="P121" t="str">
            <v>W</v>
          </cell>
          <cell r="Q121" t="str">
            <v/>
          </cell>
          <cell r="R121" t="str">
            <v>-</v>
          </cell>
        </row>
        <row r="122">
          <cell r="A122">
            <v>320261</v>
          </cell>
          <cell r="B122" t="str">
            <v>-</v>
          </cell>
          <cell r="C122">
            <v>2161</v>
          </cell>
          <cell r="D122" t="str">
            <v>215/45 R16</v>
          </cell>
          <cell r="E122">
            <v>90</v>
          </cell>
          <cell r="F122" t="str">
            <v>V</v>
          </cell>
          <cell r="G122" t="str">
            <v>ALLSEASON CONTACT2 XL</v>
          </cell>
          <cell r="H122">
            <v>320261</v>
          </cell>
          <cell r="I122">
            <v>52217</v>
          </cell>
          <cell r="J122">
            <v>0</v>
          </cell>
          <cell r="K122" t="str">
            <v>P2</v>
          </cell>
          <cell r="L122" t="str">
            <v>YYWWR</v>
          </cell>
          <cell r="M122" t="str">
            <v>Y</v>
          </cell>
          <cell r="N122" t="str">
            <v>Y</v>
          </cell>
          <cell r="O122" t="str">
            <v>W</v>
          </cell>
          <cell r="P122" t="str">
            <v>W</v>
          </cell>
          <cell r="Q122" t="str">
            <v>R</v>
          </cell>
          <cell r="R122" t="str">
            <v>-</v>
          </cell>
        </row>
        <row r="123">
          <cell r="A123">
            <v>320262</v>
          </cell>
          <cell r="B123" t="str">
            <v>-</v>
          </cell>
          <cell r="C123">
            <v>6039</v>
          </cell>
          <cell r="D123" t="str">
            <v>225/45 R18</v>
          </cell>
          <cell r="E123">
            <v>95</v>
          </cell>
          <cell r="F123" t="str">
            <v>V</v>
          </cell>
          <cell r="G123" t="str">
            <v>ALLSEASON 2 XL</v>
          </cell>
          <cell r="H123">
            <v>320262</v>
          </cell>
          <cell r="I123">
            <v>52043</v>
          </cell>
          <cell r="J123">
            <v>0</v>
          </cell>
          <cell r="K123" t="str">
            <v>P2</v>
          </cell>
          <cell r="L123" t="str">
            <v>RRGWW</v>
          </cell>
          <cell r="M123" t="str">
            <v>R</v>
          </cell>
          <cell r="N123" t="str">
            <v>R</v>
          </cell>
          <cell r="O123" t="str">
            <v>G</v>
          </cell>
          <cell r="P123" t="str">
            <v>W</v>
          </cell>
          <cell r="Q123" t="str">
            <v>W</v>
          </cell>
          <cell r="R123" t="str">
            <v>-</v>
          </cell>
        </row>
        <row r="124">
          <cell r="A124">
            <v>320269</v>
          </cell>
          <cell r="B124" t="str">
            <v>-</v>
          </cell>
          <cell r="C124">
            <v>3057</v>
          </cell>
          <cell r="D124" t="str">
            <v>235/55 R18</v>
          </cell>
          <cell r="E124">
            <v>104</v>
          </cell>
          <cell r="F124" t="str">
            <v>V</v>
          </cell>
          <cell r="G124" t="str">
            <v>ALLSEASON ASC2 XL</v>
          </cell>
          <cell r="H124">
            <v>320269</v>
          </cell>
          <cell r="I124">
            <v>52627</v>
          </cell>
          <cell r="J124">
            <v>0</v>
          </cell>
          <cell r="K124" t="str">
            <v>P2</v>
          </cell>
          <cell r="L124" t="str">
            <v>AWRRR</v>
          </cell>
          <cell r="M124" t="str">
            <v>A</v>
          </cell>
          <cell r="N124" t="str">
            <v>W</v>
          </cell>
          <cell r="O124" t="str">
            <v>R</v>
          </cell>
          <cell r="P124" t="str">
            <v>R</v>
          </cell>
          <cell r="Q124" t="str">
            <v>R</v>
          </cell>
          <cell r="R124" t="str">
            <v>-</v>
          </cell>
        </row>
        <row r="125">
          <cell r="A125">
            <v>320270</v>
          </cell>
          <cell r="B125" t="str">
            <v>-</v>
          </cell>
          <cell r="C125">
            <v>5083</v>
          </cell>
          <cell r="D125" t="str">
            <v>235/45 R17</v>
          </cell>
          <cell r="E125">
            <v>97</v>
          </cell>
          <cell r="F125" t="str">
            <v>Y</v>
          </cell>
          <cell r="G125" t="str">
            <v>ALLSEASON CONTACT2 XL</v>
          </cell>
          <cell r="H125">
            <v>320270</v>
          </cell>
          <cell r="I125">
            <v>52283</v>
          </cell>
          <cell r="J125">
            <v>0</v>
          </cell>
          <cell r="K125" t="str">
            <v>P2</v>
          </cell>
          <cell r="L125" t="str">
            <v>RRWAA</v>
          </cell>
          <cell r="M125" t="str">
            <v>R</v>
          </cell>
          <cell r="N125" t="str">
            <v>R</v>
          </cell>
          <cell r="O125" t="str">
            <v>W</v>
          </cell>
          <cell r="P125" t="str">
            <v>A</v>
          </cell>
          <cell r="Q125" t="str">
            <v>A</v>
          </cell>
          <cell r="R125" t="str">
            <v>-</v>
          </cell>
        </row>
        <row r="126">
          <cell r="A126">
            <v>320271</v>
          </cell>
          <cell r="B126" t="str">
            <v>-</v>
          </cell>
          <cell r="C126">
            <v>6085</v>
          </cell>
          <cell r="D126" t="str">
            <v>235/60 R17</v>
          </cell>
          <cell r="E126">
            <v>102</v>
          </cell>
          <cell r="F126" t="str">
            <v>V</v>
          </cell>
          <cell r="G126" t="str">
            <v>ALLSEASON ASC2</v>
          </cell>
          <cell r="H126">
            <v>320271</v>
          </cell>
          <cell r="I126">
            <v>52585</v>
          </cell>
          <cell r="J126">
            <v>0</v>
          </cell>
          <cell r="K126" t="str">
            <v>P0</v>
          </cell>
          <cell r="L126" t="str">
            <v>AWRWA</v>
          </cell>
          <cell r="M126" t="str">
            <v>A</v>
          </cell>
          <cell r="N126" t="str">
            <v>W</v>
          </cell>
          <cell r="O126" t="str">
            <v>R</v>
          </cell>
          <cell r="P126" t="str">
            <v>W</v>
          </cell>
          <cell r="Q126" t="str">
            <v>A</v>
          </cell>
          <cell r="R126" t="str">
            <v>-</v>
          </cell>
        </row>
        <row r="127">
          <cell r="A127">
            <v>320275</v>
          </cell>
          <cell r="B127" t="str">
            <v>-</v>
          </cell>
          <cell r="C127">
            <v>2137</v>
          </cell>
          <cell r="D127" t="str">
            <v>225/45 R19</v>
          </cell>
          <cell r="E127">
            <v>96</v>
          </cell>
          <cell r="F127" t="str">
            <v>W</v>
          </cell>
          <cell r="G127" t="str">
            <v>ALLSEASON CONTACT2 XL</v>
          </cell>
          <cell r="H127">
            <v>320275</v>
          </cell>
          <cell r="I127">
            <v>52428</v>
          </cell>
          <cell r="J127">
            <v>0</v>
          </cell>
          <cell r="K127" t="str">
            <v>P2</v>
          </cell>
          <cell r="L127" t="str">
            <v>WYAYA</v>
          </cell>
          <cell r="M127" t="str">
            <v>W</v>
          </cell>
          <cell r="N127" t="str">
            <v>Y</v>
          </cell>
          <cell r="O127" t="str">
            <v>A</v>
          </cell>
          <cell r="P127" t="str">
            <v>Y</v>
          </cell>
          <cell r="Q127" t="str">
            <v>A</v>
          </cell>
          <cell r="R127" t="str">
            <v>-</v>
          </cell>
        </row>
        <row r="128">
          <cell r="A128">
            <v>342201</v>
          </cell>
          <cell r="B128">
            <v>508</v>
          </cell>
          <cell r="C128">
            <v>6070</v>
          </cell>
          <cell r="D128" t="str">
            <v>185/55 R16</v>
          </cell>
          <cell r="E128">
            <v>83</v>
          </cell>
          <cell r="F128" t="str">
            <v>V</v>
          </cell>
          <cell r="G128" t="str">
            <v>SUCCESSOR 7</v>
          </cell>
          <cell r="H128">
            <v>342201</v>
          </cell>
          <cell r="I128">
            <v>52511</v>
          </cell>
          <cell r="J128">
            <v>0</v>
          </cell>
          <cell r="K128" t="str">
            <v>P2</v>
          </cell>
          <cell r="L128" t="str">
            <v>WOW</v>
          </cell>
          <cell r="M128" t="str">
            <v>W</v>
          </cell>
          <cell r="N128" t="str">
            <v>O</v>
          </cell>
          <cell r="O128" t="str">
            <v>W</v>
          </cell>
          <cell r="P128" t="str">
            <v/>
          </cell>
          <cell r="Q128" t="str">
            <v/>
          </cell>
          <cell r="R128" t="str">
            <v>-</v>
          </cell>
        </row>
        <row r="129">
          <cell r="A129">
            <v>342202</v>
          </cell>
          <cell r="B129">
            <v>115</v>
          </cell>
          <cell r="C129">
            <v>5486</v>
          </cell>
          <cell r="D129" t="str">
            <v>195/45 R16</v>
          </cell>
          <cell r="E129">
            <v>84</v>
          </cell>
          <cell r="F129" t="str">
            <v>V</v>
          </cell>
          <cell r="G129" t="str">
            <v>SUCCESSOR 7 XL</v>
          </cell>
          <cell r="H129">
            <v>342202</v>
          </cell>
          <cell r="I129">
            <v>52155</v>
          </cell>
          <cell r="J129">
            <v>0</v>
          </cell>
          <cell r="K129" t="str">
            <v>P8</v>
          </cell>
          <cell r="L129" t="str">
            <v>AOYGR</v>
          </cell>
          <cell r="M129" t="str">
            <v>A</v>
          </cell>
          <cell r="N129" t="str">
            <v>O</v>
          </cell>
          <cell r="O129" t="str">
            <v>Y</v>
          </cell>
          <cell r="P129" t="str">
            <v>G</v>
          </cell>
          <cell r="Q129" t="str">
            <v>R</v>
          </cell>
          <cell r="R129" t="str">
            <v>-</v>
          </cell>
        </row>
        <row r="130">
          <cell r="A130">
            <v>342204</v>
          </cell>
          <cell r="B130">
            <v>84</v>
          </cell>
          <cell r="C130">
            <v>5097</v>
          </cell>
          <cell r="D130" t="str">
            <v>195/50 R16</v>
          </cell>
          <cell r="E130">
            <v>88</v>
          </cell>
          <cell r="F130" t="str">
            <v>V</v>
          </cell>
          <cell r="G130" t="str">
            <v>SUCCESSOR 7 XL</v>
          </cell>
          <cell r="H130">
            <v>342204</v>
          </cell>
          <cell r="I130">
            <v>52084</v>
          </cell>
          <cell r="J130">
            <v>0</v>
          </cell>
          <cell r="K130" t="str">
            <v>P8</v>
          </cell>
          <cell r="L130" t="str">
            <v>AWWY</v>
          </cell>
          <cell r="M130" t="str">
            <v>A</v>
          </cell>
          <cell r="N130" t="str">
            <v>W</v>
          </cell>
          <cell r="O130" t="str">
            <v>W</v>
          </cell>
          <cell r="P130" t="str">
            <v>Y</v>
          </cell>
          <cell r="Q130" t="str">
            <v/>
          </cell>
          <cell r="R130" t="str">
            <v>-</v>
          </cell>
        </row>
        <row r="131">
          <cell r="A131">
            <v>342228</v>
          </cell>
          <cell r="B131">
            <v>20</v>
          </cell>
          <cell r="C131">
            <v>2240</v>
          </cell>
          <cell r="D131" t="str">
            <v>205/40 R17</v>
          </cell>
          <cell r="E131">
            <v>84</v>
          </cell>
          <cell r="F131" t="str">
            <v>Y</v>
          </cell>
          <cell r="G131" t="str">
            <v>SUCCESSOR 7 XL</v>
          </cell>
          <cell r="H131">
            <v>342228</v>
          </cell>
          <cell r="I131">
            <v>52020</v>
          </cell>
          <cell r="J131">
            <v>0</v>
          </cell>
          <cell r="K131" t="str">
            <v>P4</v>
          </cell>
          <cell r="L131" t="str">
            <v>ORW</v>
          </cell>
          <cell r="M131" t="str">
            <v>O</v>
          </cell>
          <cell r="N131" t="str">
            <v>R</v>
          </cell>
          <cell r="O131" t="str">
            <v>W</v>
          </cell>
          <cell r="P131" t="str">
            <v/>
          </cell>
          <cell r="Q131" t="str">
            <v/>
          </cell>
          <cell r="R131" t="str">
            <v>-</v>
          </cell>
        </row>
        <row r="132">
          <cell r="A132">
            <v>342229</v>
          </cell>
          <cell r="B132">
            <v>64</v>
          </cell>
          <cell r="C132">
            <v>47</v>
          </cell>
          <cell r="D132" t="str">
            <v>205/45 R16</v>
          </cell>
          <cell r="E132">
            <v>83</v>
          </cell>
          <cell r="F132" t="str">
            <v>Y</v>
          </cell>
          <cell r="G132" t="str">
            <v>SUCCESSOR 7</v>
          </cell>
          <cell r="H132">
            <v>342229</v>
          </cell>
          <cell r="I132">
            <v>52064</v>
          </cell>
          <cell r="J132">
            <v>0</v>
          </cell>
          <cell r="K132" t="str">
            <v>P4</v>
          </cell>
          <cell r="L132" t="str">
            <v>YYY</v>
          </cell>
          <cell r="M132" t="str">
            <v>Y</v>
          </cell>
          <cell r="N132" t="str">
            <v>Y</v>
          </cell>
          <cell r="O132" t="str">
            <v>Y</v>
          </cell>
          <cell r="P132" t="str">
            <v/>
          </cell>
          <cell r="Q132" t="str">
            <v/>
          </cell>
          <cell r="R132" t="str">
            <v>-</v>
          </cell>
        </row>
        <row r="133">
          <cell r="A133">
            <v>342265</v>
          </cell>
          <cell r="B133" t="str">
            <v>-</v>
          </cell>
          <cell r="C133">
            <v>58151</v>
          </cell>
          <cell r="D133" t="str">
            <v>205/45 R17</v>
          </cell>
          <cell r="E133">
            <v>88</v>
          </cell>
          <cell r="F133" t="str">
            <v>Y</v>
          </cell>
          <cell r="G133" t="str">
            <v>SUCCESSOR 7 XL</v>
          </cell>
          <cell r="H133">
            <v>342265</v>
          </cell>
          <cell r="I133">
            <v>52538</v>
          </cell>
          <cell r="J133">
            <v>0</v>
          </cell>
          <cell r="K133" t="str">
            <v>P0</v>
          </cell>
          <cell r="L133" t="str">
            <v>YROG</v>
          </cell>
          <cell r="M133" t="str">
            <v>Y</v>
          </cell>
          <cell r="N133" t="str">
            <v>R</v>
          </cell>
          <cell r="O133" t="str">
            <v>O</v>
          </cell>
          <cell r="P133" t="str">
            <v>G</v>
          </cell>
          <cell r="Q133" t="str">
            <v/>
          </cell>
          <cell r="R133" t="str">
            <v>-</v>
          </cell>
        </row>
        <row r="134">
          <cell r="A134">
            <v>342271</v>
          </cell>
          <cell r="B134" t="str">
            <v>-</v>
          </cell>
          <cell r="C134">
            <v>4091</v>
          </cell>
          <cell r="D134" t="str">
            <v>205/55 R17</v>
          </cell>
          <cell r="E134">
            <v>95</v>
          </cell>
          <cell r="F134" t="str">
            <v>V</v>
          </cell>
          <cell r="G134" t="str">
            <v>SUCCESSOR 7 XL</v>
          </cell>
          <cell r="H134">
            <v>342271</v>
          </cell>
          <cell r="I134">
            <v>52720</v>
          </cell>
          <cell r="J134">
            <v>0</v>
          </cell>
          <cell r="K134" t="str">
            <v>P2</v>
          </cell>
          <cell r="L134" t="str">
            <v>YARGA</v>
          </cell>
          <cell r="M134" t="str">
            <v>Y</v>
          </cell>
          <cell r="N134" t="str">
            <v>A</v>
          </cell>
          <cell r="O134" t="str">
            <v>R</v>
          </cell>
          <cell r="P134" t="str">
            <v>G</v>
          </cell>
          <cell r="Q134" t="str">
            <v>A</v>
          </cell>
          <cell r="R134" t="str">
            <v>-</v>
          </cell>
        </row>
        <row r="135">
          <cell r="A135">
            <v>342276</v>
          </cell>
          <cell r="B135">
            <v>838</v>
          </cell>
          <cell r="C135">
            <v>5037</v>
          </cell>
          <cell r="D135" t="str">
            <v>215/45 R17</v>
          </cell>
          <cell r="E135">
            <v>91</v>
          </cell>
          <cell r="F135" t="str">
            <v>Y</v>
          </cell>
          <cell r="G135" t="str">
            <v>SUCCESSOR 7 XL</v>
          </cell>
          <cell r="H135">
            <v>342276</v>
          </cell>
          <cell r="I135">
            <v>52638</v>
          </cell>
          <cell r="J135">
            <v>0</v>
          </cell>
          <cell r="K135" t="str">
            <v>P4</v>
          </cell>
          <cell r="L135" t="str">
            <v>AAYRR</v>
          </cell>
          <cell r="M135" t="str">
            <v>A</v>
          </cell>
          <cell r="N135" t="str">
            <v>A</v>
          </cell>
          <cell r="O135" t="str">
            <v>Y</v>
          </cell>
          <cell r="P135" t="str">
            <v>R</v>
          </cell>
          <cell r="Q135" t="str">
            <v>R</v>
          </cell>
          <cell r="R135" t="str">
            <v>-</v>
          </cell>
        </row>
        <row r="136">
          <cell r="A136">
            <v>342277</v>
          </cell>
          <cell r="B136">
            <v>886</v>
          </cell>
          <cell r="C136">
            <v>5165</v>
          </cell>
          <cell r="D136" t="str">
            <v>215/50 R17</v>
          </cell>
          <cell r="E136">
            <v>95</v>
          </cell>
          <cell r="F136" t="str">
            <v>Y</v>
          </cell>
          <cell r="G136" t="str">
            <v>SUCCESSOR 7 XL</v>
          </cell>
          <cell r="H136">
            <v>342277</v>
          </cell>
          <cell r="I136">
            <v>52786</v>
          </cell>
          <cell r="J136">
            <v>0</v>
          </cell>
          <cell r="K136" t="str">
            <v>P4</v>
          </cell>
          <cell r="L136" t="str">
            <v>AGAO</v>
          </cell>
          <cell r="M136" t="str">
            <v>A</v>
          </cell>
          <cell r="N136" t="str">
            <v>G</v>
          </cell>
          <cell r="O136" t="str">
            <v>A</v>
          </cell>
          <cell r="P136" t="str">
            <v>O</v>
          </cell>
          <cell r="Q136" t="str">
            <v/>
          </cell>
          <cell r="R136" t="str">
            <v>-</v>
          </cell>
        </row>
        <row r="137">
          <cell r="A137">
            <v>342281</v>
          </cell>
          <cell r="B137">
            <v>872</v>
          </cell>
          <cell r="C137">
            <v>6051</v>
          </cell>
          <cell r="D137" t="str">
            <v>215/55 R18</v>
          </cell>
          <cell r="E137">
            <v>99</v>
          </cell>
          <cell r="F137" t="str">
            <v>V</v>
          </cell>
          <cell r="G137" t="str">
            <v>SUCCESSOR 7 XL</v>
          </cell>
          <cell r="H137">
            <v>342281</v>
          </cell>
          <cell r="I137">
            <v>52875</v>
          </cell>
          <cell r="J137">
            <v>0</v>
          </cell>
          <cell r="K137" t="str">
            <v>P4</v>
          </cell>
          <cell r="L137" t="str">
            <v>YYOO</v>
          </cell>
          <cell r="M137" t="str">
            <v>Y</v>
          </cell>
          <cell r="N137" t="str">
            <v>Y</v>
          </cell>
          <cell r="O137" t="str">
            <v>O</v>
          </cell>
          <cell r="P137" t="str">
            <v>O</v>
          </cell>
          <cell r="Q137" t="str">
            <v/>
          </cell>
          <cell r="R137" t="str">
            <v>-</v>
          </cell>
        </row>
        <row r="138">
          <cell r="A138">
            <v>342283</v>
          </cell>
          <cell r="B138">
            <v>61</v>
          </cell>
          <cell r="C138">
            <v>2188</v>
          </cell>
          <cell r="D138" t="str">
            <v>215/60 R17</v>
          </cell>
          <cell r="E138">
            <v>96</v>
          </cell>
          <cell r="F138" t="str">
            <v>H</v>
          </cell>
          <cell r="G138" t="str">
            <v>SUCCESSOR 7</v>
          </cell>
          <cell r="H138">
            <v>342283</v>
          </cell>
          <cell r="I138">
            <v>52061</v>
          </cell>
          <cell r="J138">
            <v>0</v>
          </cell>
          <cell r="K138" t="str">
            <v>P4</v>
          </cell>
          <cell r="L138" t="str">
            <v>YYRAR</v>
          </cell>
          <cell r="M138" t="str">
            <v>Y</v>
          </cell>
          <cell r="N138" t="str">
            <v>Y</v>
          </cell>
          <cell r="O138" t="str">
            <v>R</v>
          </cell>
          <cell r="P138" t="str">
            <v>A</v>
          </cell>
          <cell r="Q138" t="str">
            <v>R</v>
          </cell>
          <cell r="R138" t="str">
            <v>-</v>
          </cell>
        </row>
        <row r="139">
          <cell r="A139">
            <v>342288</v>
          </cell>
          <cell r="B139" t="str">
            <v>-</v>
          </cell>
          <cell r="C139">
            <v>4030</v>
          </cell>
          <cell r="D139" t="str">
            <v>225/45 R18</v>
          </cell>
          <cell r="E139">
            <v>95</v>
          </cell>
          <cell r="F139" t="str">
            <v>Y</v>
          </cell>
          <cell r="G139" t="str">
            <v>SUCCESSOR 7 XL</v>
          </cell>
          <cell r="H139">
            <v>342288</v>
          </cell>
          <cell r="I139">
            <v>52657</v>
          </cell>
          <cell r="J139">
            <v>0</v>
          </cell>
          <cell r="K139" t="str">
            <v>P0</v>
          </cell>
          <cell r="L139" t="str">
            <v>GRYGA</v>
          </cell>
          <cell r="M139" t="str">
            <v>G</v>
          </cell>
          <cell r="N139" t="str">
            <v>R</v>
          </cell>
          <cell r="O139" t="str">
            <v>Y</v>
          </cell>
          <cell r="P139" t="str">
            <v>G</v>
          </cell>
          <cell r="Q139" t="str">
            <v>A</v>
          </cell>
          <cell r="R139" t="str">
            <v>-</v>
          </cell>
        </row>
        <row r="140">
          <cell r="A140">
            <v>342295</v>
          </cell>
          <cell r="B140" t="str">
            <v>-</v>
          </cell>
          <cell r="C140">
            <v>5098</v>
          </cell>
          <cell r="D140" t="str">
            <v>235/45 R18</v>
          </cell>
          <cell r="E140">
            <v>98</v>
          </cell>
          <cell r="F140" t="str">
            <v>Y</v>
          </cell>
          <cell r="G140" t="str">
            <v>SUCCESSOR 7 XL</v>
          </cell>
          <cell r="H140">
            <v>342295</v>
          </cell>
          <cell r="I140">
            <v>52926</v>
          </cell>
          <cell r="J140">
            <v>0</v>
          </cell>
          <cell r="K140" t="str">
            <v>P0</v>
          </cell>
          <cell r="L140" t="str">
            <v>AAWWR</v>
          </cell>
          <cell r="M140" t="str">
            <v>A</v>
          </cell>
          <cell r="N140" t="str">
            <v>A</v>
          </cell>
          <cell r="O140" t="str">
            <v>W</v>
          </cell>
          <cell r="P140" t="str">
            <v>W</v>
          </cell>
          <cell r="Q140" t="str">
            <v>R</v>
          </cell>
          <cell r="R140" t="str">
            <v>-</v>
          </cell>
        </row>
        <row r="141">
          <cell r="A141">
            <v>342310</v>
          </cell>
          <cell r="B141">
            <v>997</v>
          </cell>
          <cell r="C141">
            <v>5181</v>
          </cell>
          <cell r="D141" t="str">
            <v>235/50 R18</v>
          </cell>
          <cell r="E141">
            <v>101</v>
          </cell>
          <cell r="F141" t="str">
            <v>Y</v>
          </cell>
          <cell r="G141" t="str">
            <v>SUCCESSOR 7 XL</v>
          </cell>
          <cell r="H141">
            <v>342310</v>
          </cell>
          <cell r="I141">
            <v>52597</v>
          </cell>
          <cell r="J141">
            <v>0</v>
          </cell>
          <cell r="K141" t="str">
            <v>P4</v>
          </cell>
          <cell r="L141" t="str">
            <v>AGOYY</v>
          </cell>
          <cell r="M141" t="str">
            <v>A</v>
          </cell>
          <cell r="N141" t="str">
            <v>G</v>
          </cell>
          <cell r="O141" t="str">
            <v>O</v>
          </cell>
          <cell r="P141" t="str">
            <v>Y</v>
          </cell>
          <cell r="Q141" t="str">
            <v>Y</v>
          </cell>
          <cell r="R141" t="str">
            <v>-</v>
          </cell>
        </row>
        <row r="142">
          <cell r="A142">
            <v>345019</v>
          </cell>
          <cell r="B142" t="str">
            <v>-</v>
          </cell>
          <cell r="C142">
            <v>20039</v>
          </cell>
          <cell r="D142" t="str">
            <v>215/70 R16</v>
          </cell>
          <cell r="E142">
            <v>100</v>
          </cell>
          <cell r="F142" t="str">
            <v>T</v>
          </cell>
          <cell r="G142" t="str">
            <v>VIKING CONTACT 7</v>
          </cell>
          <cell r="H142">
            <v>345019</v>
          </cell>
          <cell r="I142">
            <v>52602</v>
          </cell>
          <cell r="J142">
            <v>0</v>
          </cell>
          <cell r="K142" t="str">
            <v>P2</v>
          </cell>
          <cell r="L142" t="str">
            <v>YYYYO</v>
          </cell>
          <cell r="M142" t="str">
            <v>Y</v>
          </cell>
          <cell r="N142" t="str">
            <v>Y</v>
          </cell>
          <cell r="O142" t="str">
            <v>Y</v>
          </cell>
          <cell r="P142" t="str">
            <v>Y</v>
          </cell>
          <cell r="Q142" t="str">
            <v>O</v>
          </cell>
          <cell r="R142" t="str">
            <v>-</v>
          </cell>
        </row>
        <row r="143">
          <cell r="A143">
            <v>345333</v>
          </cell>
          <cell r="B143" t="str">
            <v>-</v>
          </cell>
          <cell r="C143">
            <v>20308</v>
          </cell>
          <cell r="D143" t="str">
            <v>185/60 R15</v>
          </cell>
          <cell r="E143">
            <v>88</v>
          </cell>
          <cell r="F143" t="str">
            <v>T</v>
          </cell>
          <cell r="G143" t="str">
            <v>VIKING CONTACT 7 XL</v>
          </cell>
          <cell r="H143">
            <v>345333</v>
          </cell>
          <cell r="I143">
            <v>52270</v>
          </cell>
          <cell r="J143">
            <v>0</v>
          </cell>
          <cell r="K143" t="str">
            <v>P2</v>
          </cell>
          <cell r="L143" t="str">
            <v>YYYYA</v>
          </cell>
          <cell r="M143" t="str">
            <v>Y</v>
          </cell>
          <cell r="N143" t="str">
            <v>Y</v>
          </cell>
          <cell r="O143" t="str">
            <v>Y</v>
          </cell>
          <cell r="P143" t="str">
            <v>Y</v>
          </cell>
          <cell r="Q143" t="str">
            <v>A</v>
          </cell>
          <cell r="R143" t="str">
            <v>-</v>
          </cell>
        </row>
        <row r="144">
          <cell r="A144">
            <v>345371</v>
          </cell>
          <cell r="B144" t="str">
            <v>-</v>
          </cell>
          <cell r="C144">
            <v>20119</v>
          </cell>
          <cell r="D144" t="str">
            <v>175/65 R15</v>
          </cell>
          <cell r="E144">
            <v>88</v>
          </cell>
          <cell r="F144" t="str">
            <v>T</v>
          </cell>
          <cell r="G144" t="str">
            <v>VIKING CONTACT 7 XL</v>
          </cell>
          <cell r="H144">
            <v>345371</v>
          </cell>
          <cell r="I144">
            <v>52261</v>
          </cell>
          <cell r="J144">
            <v>0</v>
          </cell>
          <cell r="K144" t="str">
            <v>P2</v>
          </cell>
          <cell r="L144" t="str">
            <v>YYYYG</v>
          </cell>
          <cell r="M144" t="str">
            <v>Y</v>
          </cell>
          <cell r="N144" t="str">
            <v>Y</v>
          </cell>
          <cell r="O144" t="str">
            <v>Y</v>
          </cell>
          <cell r="P144" t="str">
            <v>Y</v>
          </cell>
          <cell r="Q144" t="str">
            <v>G</v>
          </cell>
          <cell r="R144" t="str">
            <v>-</v>
          </cell>
        </row>
        <row r="145">
          <cell r="A145">
            <v>345426</v>
          </cell>
          <cell r="B145" t="str">
            <v>-</v>
          </cell>
          <cell r="C145">
            <v>20040</v>
          </cell>
          <cell r="D145" t="str">
            <v>205/65 R16</v>
          </cell>
          <cell r="E145">
            <v>99</v>
          </cell>
          <cell r="F145" t="str">
            <v>H</v>
          </cell>
          <cell r="G145" t="str">
            <v>VIKING CONTACT 7 XL</v>
          </cell>
          <cell r="H145">
            <v>345426</v>
          </cell>
          <cell r="I145">
            <v>52396</v>
          </cell>
          <cell r="J145">
            <v>0</v>
          </cell>
          <cell r="K145" t="str">
            <v>P2</v>
          </cell>
          <cell r="L145" t="str">
            <v>YA</v>
          </cell>
          <cell r="M145" t="str">
            <v>Y</v>
          </cell>
          <cell r="N145" t="str">
            <v>A</v>
          </cell>
          <cell r="O145" t="str">
            <v/>
          </cell>
          <cell r="P145" t="str">
            <v/>
          </cell>
          <cell r="Q145" t="str">
            <v/>
          </cell>
          <cell r="R145" t="str">
            <v>-</v>
          </cell>
        </row>
        <row r="146">
          <cell r="A146">
            <v>345471</v>
          </cell>
          <cell r="B146" t="str">
            <v>-</v>
          </cell>
          <cell r="C146">
            <v>25001</v>
          </cell>
          <cell r="D146" t="str">
            <v>205/55 R16</v>
          </cell>
          <cell r="E146">
            <v>94</v>
          </cell>
          <cell r="F146" t="str">
            <v>H</v>
          </cell>
          <cell r="G146" t="str">
            <v>VIKING CONTACT 8 XL</v>
          </cell>
          <cell r="H146">
            <v>345471</v>
          </cell>
          <cell r="I146">
            <v>52392</v>
          </cell>
          <cell r="J146">
            <v>0</v>
          </cell>
          <cell r="K146" t="str">
            <v>P2</v>
          </cell>
          <cell r="L146" t="str">
            <v>AAAW</v>
          </cell>
          <cell r="M146" t="str">
            <v>A</v>
          </cell>
          <cell r="N146" t="str">
            <v>A</v>
          </cell>
          <cell r="O146" t="str">
            <v>A</v>
          </cell>
          <cell r="P146" t="str">
            <v>W</v>
          </cell>
          <cell r="Q146" t="str">
            <v/>
          </cell>
          <cell r="R146" t="str">
            <v>-</v>
          </cell>
        </row>
        <row r="147">
          <cell r="A147">
            <v>345606</v>
          </cell>
          <cell r="B147" t="str">
            <v>-</v>
          </cell>
          <cell r="C147">
            <v>25001</v>
          </cell>
          <cell r="D147" t="str">
            <v>205/55 R16</v>
          </cell>
          <cell r="E147">
            <v>94</v>
          </cell>
          <cell r="F147" t="str">
            <v>H</v>
          </cell>
          <cell r="G147" t="str">
            <v>ULTIMATECONTACT WINTER XL</v>
          </cell>
          <cell r="H147">
            <v>345606</v>
          </cell>
          <cell r="I147">
            <v>52392</v>
          </cell>
          <cell r="J147">
            <v>0</v>
          </cell>
          <cell r="K147" t="str">
            <v>P2</v>
          </cell>
          <cell r="L147" t="str">
            <v>AAAW</v>
          </cell>
          <cell r="M147" t="str">
            <v>A</v>
          </cell>
          <cell r="N147" t="str">
            <v>A</v>
          </cell>
          <cell r="O147" t="str">
            <v>A</v>
          </cell>
          <cell r="P147" t="str">
            <v>W</v>
          </cell>
          <cell r="Q147" t="str">
            <v/>
          </cell>
          <cell r="R147" t="str">
            <v>-</v>
          </cell>
        </row>
        <row r="148">
          <cell r="A148">
            <v>345762</v>
          </cell>
          <cell r="B148" t="str">
            <v>-</v>
          </cell>
          <cell r="C148">
            <v>20146</v>
          </cell>
          <cell r="D148" t="str">
            <v>225/55 R19</v>
          </cell>
          <cell r="E148">
            <v>103</v>
          </cell>
          <cell r="F148" t="str">
            <v>T</v>
          </cell>
          <cell r="G148" t="str">
            <v>VIKING CONTACT 8 XL</v>
          </cell>
          <cell r="H148">
            <v>345762</v>
          </cell>
          <cell r="I148">
            <v>52244</v>
          </cell>
          <cell r="J148">
            <v>0</v>
          </cell>
          <cell r="K148" t="str">
            <v>P2</v>
          </cell>
          <cell r="L148" t="str">
            <v>AARY</v>
          </cell>
          <cell r="M148" t="str">
            <v>A</v>
          </cell>
          <cell r="N148" t="str">
            <v>A</v>
          </cell>
          <cell r="O148" t="str">
            <v>R</v>
          </cell>
          <cell r="P148" t="str">
            <v>Y</v>
          </cell>
          <cell r="Q148" t="str">
            <v/>
          </cell>
          <cell r="R148" t="str">
            <v>-</v>
          </cell>
        </row>
        <row r="149">
          <cell r="A149">
            <v>345797</v>
          </cell>
          <cell r="B149" t="str">
            <v>-</v>
          </cell>
          <cell r="C149">
            <v>20302</v>
          </cell>
          <cell r="D149" t="str">
            <v>215/55 R16</v>
          </cell>
          <cell r="E149">
            <v>97</v>
          </cell>
          <cell r="F149" t="str">
            <v>H</v>
          </cell>
          <cell r="G149" t="str">
            <v>VIKING CONTACT 8 XL</v>
          </cell>
          <cell r="H149">
            <v>345797</v>
          </cell>
          <cell r="I149">
            <v>52274</v>
          </cell>
          <cell r="J149">
            <v>0</v>
          </cell>
          <cell r="K149" t="str">
            <v>P2</v>
          </cell>
          <cell r="L149" t="str">
            <v>AAAAA</v>
          </cell>
          <cell r="M149" t="str">
            <v>A</v>
          </cell>
          <cell r="N149" t="str">
            <v>A</v>
          </cell>
          <cell r="O149" t="str">
            <v>A</v>
          </cell>
          <cell r="P149" t="str">
            <v>A</v>
          </cell>
          <cell r="Q149" t="str">
            <v>A</v>
          </cell>
          <cell r="R149" t="str">
            <v>-</v>
          </cell>
        </row>
        <row r="150">
          <cell r="A150">
            <v>345801</v>
          </cell>
          <cell r="B150" t="str">
            <v>-</v>
          </cell>
          <cell r="C150">
            <v>20402</v>
          </cell>
          <cell r="D150" t="str">
            <v>215/50 R17</v>
          </cell>
          <cell r="E150">
            <v>95</v>
          </cell>
          <cell r="F150" t="str">
            <v>H</v>
          </cell>
          <cell r="G150" t="str">
            <v>VIKING CONTACT XL</v>
          </cell>
          <cell r="H150">
            <v>345801</v>
          </cell>
          <cell r="I150">
            <v>52010</v>
          </cell>
          <cell r="J150">
            <v>0</v>
          </cell>
          <cell r="K150" t="str">
            <v>P2</v>
          </cell>
          <cell r="L150" t="str">
            <v>WROAG</v>
          </cell>
          <cell r="M150" t="str">
            <v>W</v>
          </cell>
          <cell r="N150" t="str">
            <v>R</v>
          </cell>
          <cell r="O150" t="str">
            <v>O</v>
          </cell>
          <cell r="P150" t="str">
            <v>A</v>
          </cell>
          <cell r="Q150" t="str">
            <v>G</v>
          </cell>
          <cell r="R150" t="str">
            <v>-</v>
          </cell>
        </row>
        <row r="151">
          <cell r="A151">
            <v>345803</v>
          </cell>
          <cell r="B151" t="str">
            <v>-</v>
          </cell>
          <cell r="C151">
            <v>58102</v>
          </cell>
          <cell r="D151" t="str">
            <v>235/40 R19</v>
          </cell>
          <cell r="E151">
            <v>96</v>
          </cell>
          <cell r="F151" t="str">
            <v>H</v>
          </cell>
          <cell r="G151" t="str">
            <v>VIKING CONTACT 8 XL</v>
          </cell>
          <cell r="H151">
            <v>345803</v>
          </cell>
          <cell r="I151">
            <v>52521</v>
          </cell>
          <cell r="J151">
            <v>0</v>
          </cell>
          <cell r="K151" t="str">
            <v>P2</v>
          </cell>
          <cell r="L151" t="str">
            <v>AAYRR</v>
          </cell>
          <cell r="M151" t="str">
            <v>A</v>
          </cell>
          <cell r="N151" t="str">
            <v>A</v>
          </cell>
          <cell r="O151" t="str">
            <v>Y</v>
          </cell>
          <cell r="P151" t="str">
            <v>R</v>
          </cell>
          <cell r="Q151" t="str">
            <v>R</v>
          </cell>
          <cell r="R151" t="str">
            <v>-</v>
          </cell>
        </row>
        <row r="152">
          <cell r="A152">
            <v>345804</v>
          </cell>
          <cell r="B152" t="str">
            <v>-</v>
          </cell>
          <cell r="C152">
            <v>20144</v>
          </cell>
          <cell r="D152" t="str">
            <v>215/65 R16</v>
          </cell>
          <cell r="E152">
            <v>102</v>
          </cell>
          <cell r="F152" t="str">
            <v>T</v>
          </cell>
          <cell r="G152" t="str">
            <v>VIKING CONTACT 8 XL</v>
          </cell>
          <cell r="H152">
            <v>345804</v>
          </cell>
          <cell r="I152">
            <v>52513</v>
          </cell>
          <cell r="J152">
            <v>0</v>
          </cell>
          <cell r="K152" t="str">
            <v>P7</v>
          </cell>
          <cell r="L152" t="str">
            <v>AYAWY</v>
          </cell>
          <cell r="M152" t="str">
            <v>A</v>
          </cell>
          <cell r="N152" t="str">
            <v>Y</v>
          </cell>
          <cell r="O152" t="str">
            <v>A</v>
          </cell>
          <cell r="P152" t="str">
            <v>W</v>
          </cell>
          <cell r="Q152" t="str">
            <v>Y</v>
          </cell>
          <cell r="R152" t="str">
            <v>-</v>
          </cell>
        </row>
        <row r="153">
          <cell r="A153">
            <v>345810</v>
          </cell>
          <cell r="B153" t="str">
            <v>-</v>
          </cell>
          <cell r="C153">
            <v>20115</v>
          </cell>
          <cell r="D153" t="str">
            <v>235/55 R17</v>
          </cell>
          <cell r="E153">
            <v>103</v>
          </cell>
          <cell r="F153" t="str">
            <v>H</v>
          </cell>
          <cell r="G153" t="str">
            <v>VIKING CONTACT 8 XL</v>
          </cell>
          <cell r="H153">
            <v>345810</v>
          </cell>
          <cell r="I153">
            <v>52508</v>
          </cell>
          <cell r="J153">
            <v>0</v>
          </cell>
          <cell r="K153" t="str">
            <v>P2</v>
          </cell>
          <cell r="L153" t="str">
            <v>YYYOY</v>
          </cell>
          <cell r="M153" t="str">
            <v>Y</v>
          </cell>
          <cell r="N153" t="str">
            <v>Y</v>
          </cell>
          <cell r="O153" t="str">
            <v>Y</v>
          </cell>
          <cell r="P153" t="str">
            <v>O</v>
          </cell>
          <cell r="Q153" t="str">
            <v>Y</v>
          </cell>
          <cell r="R153" t="str">
            <v>-</v>
          </cell>
        </row>
        <row r="154">
          <cell r="A154">
            <v>345812</v>
          </cell>
          <cell r="B154" t="str">
            <v>-</v>
          </cell>
          <cell r="C154">
            <v>20145</v>
          </cell>
          <cell r="D154" t="str">
            <v>245/45 R20</v>
          </cell>
          <cell r="E154">
            <v>103</v>
          </cell>
          <cell r="F154" t="str">
            <v>T</v>
          </cell>
          <cell r="G154" t="str">
            <v>VIKING CONTACT 8 XL</v>
          </cell>
          <cell r="H154">
            <v>345812</v>
          </cell>
          <cell r="I154">
            <v>52203</v>
          </cell>
          <cell r="J154">
            <v>0</v>
          </cell>
          <cell r="K154" t="str">
            <v>P2</v>
          </cell>
          <cell r="L154" t="str">
            <v>AAYYY</v>
          </cell>
          <cell r="M154" t="str">
            <v>A</v>
          </cell>
          <cell r="N154" t="str">
            <v>A</v>
          </cell>
          <cell r="O154" t="str">
            <v>Y</v>
          </cell>
          <cell r="P154" t="str">
            <v>Y</v>
          </cell>
          <cell r="Q154" t="str">
            <v>Y</v>
          </cell>
          <cell r="R154" t="str">
            <v>-</v>
          </cell>
        </row>
        <row r="155">
          <cell r="A155">
            <v>345814</v>
          </cell>
          <cell r="B155" t="str">
            <v>-</v>
          </cell>
          <cell r="C155">
            <v>28047</v>
          </cell>
          <cell r="D155" t="str">
            <v>245/40 R19</v>
          </cell>
          <cell r="E155">
            <v>98</v>
          </cell>
          <cell r="F155" t="str">
            <v>T</v>
          </cell>
          <cell r="G155" t="str">
            <v>VIKING CONTACT 8 XL</v>
          </cell>
          <cell r="H155">
            <v>345814</v>
          </cell>
          <cell r="I155">
            <v>52133</v>
          </cell>
          <cell r="J155">
            <v>0</v>
          </cell>
          <cell r="K155" t="str">
            <v>P2</v>
          </cell>
          <cell r="L155" t="str">
            <v>AARRR</v>
          </cell>
          <cell r="M155" t="str">
            <v>A</v>
          </cell>
          <cell r="N155" t="str">
            <v>A</v>
          </cell>
          <cell r="O155" t="str">
            <v>R</v>
          </cell>
          <cell r="P155" t="str">
            <v>R</v>
          </cell>
          <cell r="Q155" t="str">
            <v>R</v>
          </cell>
          <cell r="R155" t="str">
            <v>-</v>
          </cell>
        </row>
        <row r="156">
          <cell r="A156">
            <v>345818</v>
          </cell>
          <cell r="B156" t="str">
            <v>-</v>
          </cell>
          <cell r="C156">
            <v>20226</v>
          </cell>
          <cell r="D156" t="str">
            <v>205/50 R17</v>
          </cell>
          <cell r="E156">
            <v>93</v>
          </cell>
          <cell r="F156" t="str">
            <v>H</v>
          </cell>
          <cell r="G156" t="str">
            <v>VIKING CONTACT 8 XL</v>
          </cell>
          <cell r="H156">
            <v>345818</v>
          </cell>
          <cell r="I156">
            <v>52036</v>
          </cell>
          <cell r="J156">
            <v>0</v>
          </cell>
          <cell r="K156" t="str">
            <v>P2</v>
          </cell>
          <cell r="L156" t="str">
            <v>AAAAW</v>
          </cell>
          <cell r="M156" t="str">
            <v>A</v>
          </cell>
          <cell r="N156" t="str">
            <v>A</v>
          </cell>
          <cell r="O156" t="str">
            <v>A</v>
          </cell>
          <cell r="P156" t="str">
            <v>A</v>
          </cell>
          <cell r="Q156" t="str">
            <v>W</v>
          </cell>
          <cell r="R156" t="str">
            <v>-</v>
          </cell>
        </row>
        <row r="157">
          <cell r="A157">
            <v>345827</v>
          </cell>
          <cell r="B157" t="str">
            <v>-</v>
          </cell>
          <cell r="C157">
            <v>28004</v>
          </cell>
          <cell r="D157" t="str">
            <v>205/45 R17</v>
          </cell>
          <cell r="E157">
            <v>88</v>
          </cell>
          <cell r="F157" t="str">
            <v>H</v>
          </cell>
          <cell r="G157" t="str">
            <v>VIKING CONTACT XL</v>
          </cell>
          <cell r="H157">
            <v>345827</v>
          </cell>
          <cell r="I157">
            <v>52159</v>
          </cell>
          <cell r="J157">
            <v>0</v>
          </cell>
          <cell r="K157" t="str">
            <v>P2</v>
          </cell>
          <cell r="L157" t="str">
            <v>AGORA</v>
          </cell>
          <cell r="M157" t="str">
            <v>A</v>
          </cell>
          <cell r="N157" t="str">
            <v>G</v>
          </cell>
          <cell r="O157" t="str">
            <v>O</v>
          </cell>
          <cell r="P157" t="str">
            <v>R</v>
          </cell>
          <cell r="Q157" t="str">
            <v>A</v>
          </cell>
          <cell r="R157" t="str">
            <v>-</v>
          </cell>
        </row>
        <row r="158">
          <cell r="A158">
            <v>345830</v>
          </cell>
          <cell r="B158" t="str">
            <v>-</v>
          </cell>
          <cell r="C158">
            <v>20045</v>
          </cell>
          <cell r="D158" t="str">
            <v>235/50 R20</v>
          </cell>
          <cell r="E158">
            <v>104</v>
          </cell>
          <cell r="F158" t="str">
            <v>T</v>
          </cell>
          <cell r="G158" t="str">
            <v>VIKING CONTACT 8 XL</v>
          </cell>
          <cell r="H158">
            <v>345830</v>
          </cell>
          <cell r="I158">
            <v>52525</v>
          </cell>
          <cell r="J158">
            <v>0</v>
          </cell>
          <cell r="K158" t="str">
            <v>P2</v>
          </cell>
          <cell r="L158" t="str">
            <v>AAYWY</v>
          </cell>
          <cell r="M158" t="str">
            <v>A</v>
          </cell>
          <cell r="N158" t="str">
            <v>A</v>
          </cell>
          <cell r="O158" t="str">
            <v>Y</v>
          </cell>
          <cell r="P158" t="str">
            <v>W</v>
          </cell>
          <cell r="Q158" t="str">
            <v>Y</v>
          </cell>
          <cell r="R158" t="str">
            <v>-</v>
          </cell>
        </row>
        <row r="159">
          <cell r="A159">
            <v>346005</v>
          </cell>
          <cell r="B159">
            <v>5</v>
          </cell>
          <cell r="C159">
            <v>4010</v>
          </cell>
          <cell r="D159" t="str">
            <v>205/50 R17</v>
          </cell>
          <cell r="E159">
            <v>93</v>
          </cell>
          <cell r="F159" t="str">
            <v>V</v>
          </cell>
          <cell r="G159" t="str">
            <v>EUROSNOW 2</v>
          </cell>
          <cell r="H159">
            <v>346005</v>
          </cell>
          <cell r="I159">
            <v>52371</v>
          </cell>
          <cell r="J159">
            <v>0</v>
          </cell>
          <cell r="K159" t="str">
            <v>P4</v>
          </cell>
          <cell r="L159" t="str">
            <v>YYWRA</v>
          </cell>
          <cell r="M159" t="str">
            <v>Y</v>
          </cell>
          <cell r="N159" t="str">
            <v>Y</v>
          </cell>
          <cell r="O159" t="str">
            <v>W</v>
          </cell>
          <cell r="P159" t="str">
            <v>R</v>
          </cell>
          <cell r="Q159" t="str">
            <v>A</v>
          </cell>
          <cell r="R159" t="str">
            <v>-</v>
          </cell>
        </row>
        <row r="160">
          <cell r="A160">
            <v>346007</v>
          </cell>
          <cell r="B160">
            <v>177</v>
          </cell>
          <cell r="C160">
            <v>5060</v>
          </cell>
          <cell r="D160" t="str">
            <v>215/50 R17</v>
          </cell>
          <cell r="E160">
            <v>95</v>
          </cell>
          <cell r="F160" t="str">
            <v>V</v>
          </cell>
          <cell r="G160" t="str">
            <v>EUROSNOW 2 XL</v>
          </cell>
          <cell r="H160">
            <v>346007</v>
          </cell>
          <cell r="I160">
            <v>52157</v>
          </cell>
          <cell r="J160">
            <v>0</v>
          </cell>
          <cell r="K160" t="str">
            <v>P4</v>
          </cell>
          <cell r="L160" t="str">
            <v>YG</v>
          </cell>
          <cell r="M160" t="str">
            <v>Y</v>
          </cell>
          <cell r="N160" t="str">
            <v>G</v>
          </cell>
          <cell r="O160" t="str">
            <v/>
          </cell>
          <cell r="P160" t="str">
            <v/>
          </cell>
          <cell r="Q160" t="str">
            <v/>
          </cell>
          <cell r="R160" t="str">
            <v>-</v>
          </cell>
        </row>
        <row r="161">
          <cell r="A161">
            <v>347354</v>
          </cell>
          <cell r="B161" t="str">
            <v>-</v>
          </cell>
          <cell r="C161">
            <v>20036</v>
          </cell>
          <cell r="D161" t="str">
            <v>175/65 R15</v>
          </cell>
          <cell r="E161">
            <v>88</v>
          </cell>
          <cell r="F161" t="str">
            <v>T</v>
          </cell>
          <cell r="G161" t="str">
            <v>ICE CONTACT 3 XL</v>
          </cell>
          <cell r="H161">
            <v>347354</v>
          </cell>
          <cell r="I161">
            <v>52857</v>
          </cell>
          <cell r="J161">
            <v>0</v>
          </cell>
          <cell r="K161" t="str">
            <v>P2</v>
          </cell>
          <cell r="L161" t="str">
            <v>RR</v>
          </cell>
          <cell r="M161" t="str">
            <v>R</v>
          </cell>
          <cell r="N161" t="str">
            <v>R</v>
          </cell>
          <cell r="O161" t="str">
            <v/>
          </cell>
          <cell r="P161" t="str">
            <v/>
          </cell>
          <cell r="Q161" t="str">
            <v/>
          </cell>
          <cell r="R161" t="str">
            <v>-</v>
          </cell>
        </row>
        <row r="162">
          <cell r="A162">
            <v>347358</v>
          </cell>
          <cell r="B162" t="str">
            <v>-</v>
          </cell>
          <cell r="C162">
            <v>20122</v>
          </cell>
          <cell r="D162" t="str">
            <v>185/60 R15</v>
          </cell>
          <cell r="E162">
            <v>88</v>
          </cell>
          <cell r="F162" t="str">
            <v>T</v>
          </cell>
          <cell r="G162" t="str">
            <v>ICE CONTACT 3 XL</v>
          </cell>
          <cell r="H162">
            <v>347358</v>
          </cell>
          <cell r="I162">
            <v>52246</v>
          </cell>
          <cell r="J162">
            <v>0</v>
          </cell>
          <cell r="K162" t="str">
            <v>P2</v>
          </cell>
          <cell r="L162" t="str">
            <v>OO</v>
          </cell>
          <cell r="M162" t="str">
            <v>O</v>
          </cell>
          <cell r="N162" t="str">
            <v>O</v>
          </cell>
          <cell r="O162" t="str">
            <v/>
          </cell>
          <cell r="P162" t="str">
            <v/>
          </cell>
          <cell r="Q162" t="str">
            <v/>
          </cell>
          <cell r="R162" t="str">
            <v>-</v>
          </cell>
        </row>
        <row r="163">
          <cell r="A163">
            <v>347360</v>
          </cell>
          <cell r="B163" t="str">
            <v>-</v>
          </cell>
          <cell r="C163">
            <v>20027</v>
          </cell>
          <cell r="D163" t="str">
            <v>185/65 R15</v>
          </cell>
          <cell r="E163">
            <v>92</v>
          </cell>
          <cell r="F163" t="str">
            <v>T</v>
          </cell>
          <cell r="G163" t="str">
            <v>ICE CONTACT 3 XL</v>
          </cell>
          <cell r="H163">
            <v>347360</v>
          </cell>
          <cell r="I163">
            <v>52403</v>
          </cell>
          <cell r="J163">
            <v>0</v>
          </cell>
          <cell r="K163" t="str">
            <v>P2</v>
          </cell>
          <cell r="L163" t="str">
            <v>RO</v>
          </cell>
          <cell r="M163" t="str">
            <v>R</v>
          </cell>
          <cell r="N163" t="str">
            <v>O</v>
          </cell>
          <cell r="O163" t="str">
            <v/>
          </cell>
          <cell r="P163" t="str">
            <v/>
          </cell>
          <cell r="Q163" t="str">
            <v/>
          </cell>
          <cell r="R163" t="str">
            <v>-</v>
          </cell>
        </row>
        <row r="164">
          <cell r="A164">
            <v>347364</v>
          </cell>
          <cell r="B164">
            <v>330</v>
          </cell>
          <cell r="C164">
            <v>20005</v>
          </cell>
          <cell r="D164" t="str">
            <v>195/60 R15</v>
          </cell>
          <cell r="E164">
            <v>92</v>
          </cell>
          <cell r="F164" t="str">
            <v>T</v>
          </cell>
          <cell r="G164" t="str">
            <v>ICE CONTACT 3 XL</v>
          </cell>
          <cell r="H164">
            <v>347364</v>
          </cell>
          <cell r="I164">
            <v>52789</v>
          </cell>
          <cell r="J164">
            <v>0</v>
          </cell>
          <cell r="K164" t="str">
            <v>P2</v>
          </cell>
          <cell r="L164" t="str">
            <v>R</v>
          </cell>
          <cell r="M164" t="str">
            <v>R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>-</v>
          </cell>
        </row>
        <row r="165">
          <cell r="A165">
            <v>347366</v>
          </cell>
          <cell r="B165" t="str">
            <v>-</v>
          </cell>
          <cell r="C165">
            <v>20024</v>
          </cell>
          <cell r="D165" t="str">
            <v>195/65 R15</v>
          </cell>
          <cell r="E165">
            <v>95</v>
          </cell>
          <cell r="F165" t="str">
            <v>T</v>
          </cell>
          <cell r="G165" t="str">
            <v>ICE CONTACT 3 XL</v>
          </cell>
          <cell r="H165">
            <v>347366</v>
          </cell>
          <cell r="I165">
            <v>52069</v>
          </cell>
          <cell r="J165">
            <v>0</v>
          </cell>
          <cell r="K165" t="str">
            <v>P2</v>
          </cell>
          <cell r="L165" t="str">
            <v>O</v>
          </cell>
          <cell r="M165" t="str">
            <v>O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>-</v>
          </cell>
        </row>
        <row r="166">
          <cell r="A166">
            <v>347374</v>
          </cell>
          <cell r="B166" t="str">
            <v>-</v>
          </cell>
          <cell r="C166">
            <v>20028</v>
          </cell>
          <cell r="D166" t="str">
            <v>195/55 R16</v>
          </cell>
          <cell r="E166">
            <v>91</v>
          </cell>
          <cell r="F166" t="str">
            <v>T</v>
          </cell>
          <cell r="G166" t="str">
            <v>ICE CONTACT 3 XL</v>
          </cell>
          <cell r="H166">
            <v>347374</v>
          </cell>
          <cell r="I166">
            <v>52293</v>
          </cell>
          <cell r="J166">
            <v>0</v>
          </cell>
          <cell r="K166" t="str">
            <v>P2</v>
          </cell>
          <cell r="L166" t="str">
            <v>G</v>
          </cell>
          <cell r="M166" t="str">
            <v>G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>-</v>
          </cell>
        </row>
        <row r="167">
          <cell r="A167">
            <v>347382</v>
          </cell>
          <cell r="B167" t="str">
            <v>-</v>
          </cell>
          <cell r="C167">
            <v>20031</v>
          </cell>
          <cell r="D167" t="str">
            <v>215/55 R16</v>
          </cell>
          <cell r="E167">
            <v>97</v>
          </cell>
          <cell r="F167" t="str">
            <v>T</v>
          </cell>
          <cell r="G167" t="str">
            <v>ICE CONTACT 3 XL</v>
          </cell>
          <cell r="H167">
            <v>347382</v>
          </cell>
          <cell r="I167">
            <v>52147</v>
          </cell>
          <cell r="J167">
            <v>0</v>
          </cell>
          <cell r="K167" t="str">
            <v>P2</v>
          </cell>
          <cell r="L167" t="str">
            <v>O</v>
          </cell>
          <cell r="M167" t="str">
            <v>O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>-</v>
          </cell>
        </row>
        <row r="168">
          <cell r="A168">
            <v>347386</v>
          </cell>
          <cell r="B168" t="str">
            <v>-</v>
          </cell>
          <cell r="C168">
            <v>20032</v>
          </cell>
          <cell r="D168" t="str">
            <v>215/65 R16</v>
          </cell>
          <cell r="E168">
            <v>102</v>
          </cell>
          <cell r="F168" t="str">
            <v>T</v>
          </cell>
          <cell r="G168" t="str">
            <v>ICE CONTACT 3 XL</v>
          </cell>
          <cell r="H168">
            <v>347386</v>
          </cell>
          <cell r="I168">
            <v>52557</v>
          </cell>
          <cell r="J168">
            <v>0</v>
          </cell>
          <cell r="K168" t="str">
            <v>P7</v>
          </cell>
          <cell r="L168" t="str">
            <v>R</v>
          </cell>
          <cell r="M168" t="str">
            <v>R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>-</v>
          </cell>
        </row>
        <row r="169">
          <cell r="A169">
            <v>347388</v>
          </cell>
          <cell r="B169" t="str">
            <v>-</v>
          </cell>
          <cell r="C169">
            <v>20037</v>
          </cell>
          <cell r="D169" t="str">
            <v>215/70 R16</v>
          </cell>
          <cell r="E169">
            <v>100</v>
          </cell>
          <cell r="F169" t="str">
            <v>T</v>
          </cell>
          <cell r="G169" t="str">
            <v>ICE CONTACT 3</v>
          </cell>
          <cell r="H169">
            <v>347388</v>
          </cell>
          <cell r="I169">
            <v>52885</v>
          </cell>
          <cell r="J169">
            <v>0</v>
          </cell>
          <cell r="K169" t="str">
            <v>P2</v>
          </cell>
          <cell r="L169" t="str">
            <v>OR</v>
          </cell>
          <cell r="M169" t="str">
            <v>O</v>
          </cell>
          <cell r="N169" t="str">
            <v>R</v>
          </cell>
          <cell r="O169" t="str">
            <v/>
          </cell>
          <cell r="P169" t="str">
            <v/>
          </cell>
          <cell r="Q169" t="str">
            <v/>
          </cell>
          <cell r="R169" t="str">
            <v>-</v>
          </cell>
        </row>
        <row r="170">
          <cell r="A170">
            <v>347623</v>
          </cell>
          <cell r="B170" t="str">
            <v>-</v>
          </cell>
          <cell r="C170">
            <v>20038</v>
          </cell>
          <cell r="D170" t="str">
            <v>185/60 R15</v>
          </cell>
          <cell r="E170">
            <v>88</v>
          </cell>
          <cell r="F170" t="str">
            <v>T</v>
          </cell>
          <cell r="G170" t="str">
            <v>ICE CONTACT XTRM XL</v>
          </cell>
          <cell r="H170">
            <v>347623</v>
          </cell>
          <cell r="I170">
            <v>52241</v>
          </cell>
          <cell r="J170">
            <v>0</v>
          </cell>
          <cell r="K170" t="str">
            <v>P2</v>
          </cell>
          <cell r="L170" t="str">
            <v>RG</v>
          </cell>
          <cell r="M170" t="str">
            <v>R</v>
          </cell>
          <cell r="N170" t="str">
            <v>G</v>
          </cell>
          <cell r="O170" t="str">
            <v/>
          </cell>
          <cell r="P170" t="str">
            <v/>
          </cell>
          <cell r="Q170" t="str">
            <v/>
          </cell>
          <cell r="R170" t="str">
            <v>-</v>
          </cell>
        </row>
        <row r="171">
          <cell r="A171">
            <v>347624</v>
          </cell>
          <cell r="B171">
            <v>638</v>
          </cell>
          <cell r="C171">
            <v>20006</v>
          </cell>
          <cell r="D171" t="str">
            <v>185/65 R15</v>
          </cell>
          <cell r="E171">
            <v>92</v>
          </cell>
          <cell r="F171" t="str">
            <v>T</v>
          </cell>
          <cell r="G171" t="str">
            <v>ICE CONTACT XTRM XL</v>
          </cell>
          <cell r="H171">
            <v>347624</v>
          </cell>
          <cell r="I171">
            <v>52698</v>
          </cell>
          <cell r="J171">
            <v>0</v>
          </cell>
          <cell r="K171" t="str">
            <v>P1</v>
          </cell>
          <cell r="L171" t="str">
            <v>OR</v>
          </cell>
          <cell r="M171" t="str">
            <v>O</v>
          </cell>
          <cell r="N171" t="str">
            <v>R</v>
          </cell>
          <cell r="O171" t="str">
            <v/>
          </cell>
          <cell r="P171" t="str">
            <v/>
          </cell>
          <cell r="Q171" t="str">
            <v/>
          </cell>
          <cell r="R171" t="str">
            <v>-</v>
          </cell>
        </row>
        <row r="172">
          <cell r="A172">
            <v>347625</v>
          </cell>
          <cell r="B172" t="str">
            <v>-</v>
          </cell>
          <cell r="C172">
            <v>20020</v>
          </cell>
          <cell r="D172" t="str">
            <v>195/65 R15</v>
          </cell>
          <cell r="E172">
            <v>95</v>
          </cell>
          <cell r="F172" t="str">
            <v>T</v>
          </cell>
          <cell r="G172" t="str">
            <v>ICE CONTACT XTRM XL</v>
          </cell>
          <cell r="H172">
            <v>347625</v>
          </cell>
          <cell r="I172">
            <v>52072</v>
          </cell>
          <cell r="J172">
            <v>0</v>
          </cell>
          <cell r="K172" t="str">
            <v>P2</v>
          </cell>
          <cell r="L172" t="str">
            <v>GGG</v>
          </cell>
          <cell r="M172" t="str">
            <v>G</v>
          </cell>
          <cell r="N172" t="str">
            <v>G</v>
          </cell>
          <cell r="O172" t="str">
            <v>G</v>
          </cell>
          <cell r="P172" t="str">
            <v/>
          </cell>
          <cell r="Q172" t="str">
            <v/>
          </cell>
          <cell r="R172" t="str">
            <v>-</v>
          </cell>
        </row>
        <row r="173">
          <cell r="A173">
            <v>347626</v>
          </cell>
          <cell r="B173" t="str">
            <v>-</v>
          </cell>
          <cell r="C173">
            <v>20025</v>
          </cell>
          <cell r="D173" t="str">
            <v>205/50 R17</v>
          </cell>
          <cell r="E173">
            <v>93</v>
          </cell>
          <cell r="F173" t="str">
            <v>T</v>
          </cell>
          <cell r="G173" t="str">
            <v>ICE CONTACT XTRM XL</v>
          </cell>
          <cell r="H173">
            <v>347626</v>
          </cell>
          <cell r="I173">
            <v>52106</v>
          </cell>
          <cell r="J173">
            <v>0</v>
          </cell>
          <cell r="K173" t="str">
            <v>P2</v>
          </cell>
          <cell r="L173" t="str">
            <v>GGO</v>
          </cell>
          <cell r="M173" t="str">
            <v>G</v>
          </cell>
          <cell r="N173" t="str">
            <v>G</v>
          </cell>
          <cell r="O173" t="str">
            <v>O</v>
          </cell>
          <cell r="P173" t="str">
            <v/>
          </cell>
          <cell r="Q173" t="str">
            <v/>
          </cell>
          <cell r="R173" t="str">
            <v>-</v>
          </cell>
        </row>
        <row r="174">
          <cell r="A174">
            <v>347630</v>
          </cell>
          <cell r="B174">
            <v>315</v>
          </cell>
          <cell r="C174">
            <v>20004</v>
          </cell>
          <cell r="D174" t="str">
            <v>205/65 R16</v>
          </cell>
          <cell r="E174">
            <v>99</v>
          </cell>
          <cell r="F174" t="str">
            <v>T</v>
          </cell>
          <cell r="G174" t="str">
            <v>ICE CONTACT XTRM XL</v>
          </cell>
          <cell r="H174">
            <v>347630</v>
          </cell>
          <cell r="I174">
            <v>52194</v>
          </cell>
          <cell r="J174">
            <v>0</v>
          </cell>
          <cell r="K174" t="str">
            <v>P2</v>
          </cell>
          <cell r="L174" t="str">
            <v>OO</v>
          </cell>
          <cell r="M174" t="str">
            <v>O</v>
          </cell>
          <cell r="N174" t="str">
            <v>O</v>
          </cell>
          <cell r="O174" t="str">
            <v/>
          </cell>
          <cell r="P174" t="str">
            <v/>
          </cell>
          <cell r="Q174" t="str">
            <v/>
          </cell>
          <cell r="R174" t="str">
            <v>-</v>
          </cell>
        </row>
        <row r="175">
          <cell r="A175">
            <v>347632</v>
          </cell>
          <cell r="B175" t="str">
            <v>-</v>
          </cell>
          <cell r="C175">
            <v>20101</v>
          </cell>
          <cell r="D175" t="str">
            <v>215/50 R17</v>
          </cell>
          <cell r="E175">
            <v>95</v>
          </cell>
          <cell r="F175" t="str">
            <v>T</v>
          </cell>
          <cell r="G175" t="str">
            <v>ICE CONTACT XTRM XL</v>
          </cell>
          <cell r="H175">
            <v>347632</v>
          </cell>
          <cell r="I175">
            <v>52895</v>
          </cell>
          <cell r="J175">
            <v>0</v>
          </cell>
          <cell r="K175" t="str">
            <v>P2</v>
          </cell>
          <cell r="L175" t="str">
            <v>RO</v>
          </cell>
          <cell r="M175" t="str">
            <v>R</v>
          </cell>
          <cell r="N175" t="str">
            <v>O</v>
          </cell>
          <cell r="O175" t="str">
            <v/>
          </cell>
          <cell r="P175" t="str">
            <v/>
          </cell>
          <cell r="Q175" t="str">
            <v/>
          </cell>
          <cell r="R175" t="str">
            <v>-</v>
          </cell>
        </row>
        <row r="176">
          <cell r="A176">
            <v>347633</v>
          </cell>
          <cell r="B176" t="str">
            <v>-</v>
          </cell>
          <cell r="C176">
            <v>20042</v>
          </cell>
          <cell r="D176" t="str">
            <v>215/55 R16</v>
          </cell>
          <cell r="E176">
            <v>97</v>
          </cell>
          <cell r="F176" t="str">
            <v>T</v>
          </cell>
          <cell r="G176" t="str">
            <v>ICE CONTACT XTRM XL</v>
          </cell>
          <cell r="H176">
            <v>347633</v>
          </cell>
          <cell r="I176">
            <v>52455</v>
          </cell>
          <cell r="J176">
            <v>0</v>
          </cell>
          <cell r="K176" t="str">
            <v>P2</v>
          </cell>
          <cell r="L176" t="str">
            <v>YG</v>
          </cell>
          <cell r="M176" t="str">
            <v>Y</v>
          </cell>
          <cell r="N176" t="str">
            <v>G</v>
          </cell>
          <cell r="O176" t="str">
            <v/>
          </cell>
          <cell r="P176" t="str">
            <v/>
          </cell>
          <cell r="Q176" t="str">
            <v/>
          </cell>
          <cell r="R176" t="str">
            <v>-</v>
          </cell>
        </row>
        <row r="177">
          <cell r="A177">
            <v>347638</v>
          </cell>
          <cell r="B177" t="str">
            <v>-</v>
          </cell>
          <cell r="C177">
            <v>20225</v>
          </cell>
          <cell r="D177" t="str">
            <v>215/65 R16</v>
          </cell>
          <cell r="E177">
            <v>102</v>
          </cell>
          <cell r="F177" t="str">
            <v>T</v>
          </cell>
          <cell r="G177" t="str">
            <v>ICE CONTACT XTRM XL</v>
          </cell>
          <cell r="H177">
            <v>347638</v>
          </cell>
          <cell r="I177">
            <v>52532</v>
          </cell>
          <cell r="J177">
            <v>0</v>
          </cell>
          <cell r="K177" t="str">
            <v>P7</v>
          </cell>
          <cell r="L177" t="str">
            <v>RRR</v>
          </cell>
          <cell r="M177" t="str">
            <v>R</v>
          </cell>
          <cell r="N177" t="str">
            <v>R</v>
          </cell>
          <cell r="O177" t="str">
            <v>R</v>
          </cell>
          <cell r="P177" t="str">
            <v/>
          </cell>
          <cell r="Q177" t="str">
            <v/>
          </cell>
          <cell r="R177" t="str">
            <v>-</v>
          </cell>
        </row>
        <row r="178">
          <cell r="A178">
            <v>347640</v>
          </cell>
          <cell r="B178" t="str">
            <v>-</v>
          </cell>
          <cell r="C178">
            <v>20010</v>
          </cell>
          <cell r="D178" t="str">
            <v>215/70 R16</v>
          </cell>
          <cell r="E178">
            <v>104</v>
          </cell>
          <cell r="F178" t="str">
            <v>T</v>
          </cell>
          <cell r="G178" t="str">
            <v>ICE CONTACT XTRM XL</v>
          </cell>
          <cell r="H178">
            <v>347640</v>
          </cell>
          <cell r="I178">
            <v>52079</v>
          </cell>
          <cell r="J178">
            <v>0</v>
          </cell>
          <cell r="K178" t="str">
            <v>P2</v>
          </cell>
          <cell r="L178" t="str">
            <v>RO</v>
          </cell>
          <cell r="M178" t="str">
            <v>R</v>
          </cell>
          <cell r="N178" t="str">
            <v>O</v>
          </cell>
          <cell r="O178" t="str">
            <v/>
          </cell>
          <cell r="P178" t="str">
            <v/>
          </cell>
          <cell r="Q178" t="str">
            <v/>
          </cell>
          <cell r="R178" t="str">
            <v>-</v>
          </cell>
        </row>
        <row r="179">
          <cell r="A179">
            <v>347672</v>
          </cell>
          <cell r="B179" t="str">
            <v>-</v>
          </cell>
          <cell r="C179">
            <v>20014</v>
          </cell>
          <cell r="D179" t="str">
            <v>235/55 R17</v>
          </cell>
          <cell r="E179">
            <v>103</v>
          </cell>
          <cell r="F179" t="str">
            <v>T</v>
          </cell>
          <cell r="G179" t="str">
            <v>ICE CONTACT XTRM XL</v>
          </cell>
          <cell r="H179">
            <v>347672</v>
          </cell>
          <cell r="I179">
            <v>52207</v>
          </cell>
          <cell r="J179">
            <v>0</v>
          </cell>
          <cell r="K179" t="str">
            <v>P2</v>
          </cell>
          <cell r="L179" t="str">
            <v>OR</v>
          </cell>
          <cell r="M179" t="str">
            <v>O</v>
          </cell>
          <cell r="N179" t="str">
            <v>R</v>
          </cell>
          <cell r="O179" t="str">
            <v/>
          </cell>
          <cell r="P179" t="str">
            <v/>
          </cell>
          <cell r="Q179" t="str">
            <v/>
          </cell>
          <cell r="R179" t="str">
            <v>-</v>
          </cell>
        </row>
        <row r="180">
          <cell r="A180">
            <v>347722</v>
          </cell>
          <cell r="B180" t="str">
            <v>-</v>
          </cell>
          <cell r="C180">
            <v>20017</v>
          </cell>
          <cell r="D180" t="str">
            <v>175/65 R15</v>
          </cell>
          <cell r="E180">
            <v>88</v>
          </cell>
          <cell r="F180" t="str">
            <v>T</v>
          </cell>
          <cell r="G180" t="str">
            <v>ICE CONTACT XTRM XL</v>
          </cell>
          <cell r="H180">
            <v>347722</v>
          </cell>
          <cell r="I180">
            <v>52347</v>
          </cell>
          <cell r="J180">
            <v>0</v>
          </cell>
          <cell r="K180" t="str">
            <v>P2</v>
          </cell>
          <cell r="L180" t="str">
            <v>G</v>
          </cell>
          <cell r="M180" t="str">
            <v>G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>-</v>
          </cell>
        </row>
        <row r="181">
          <cell r="A181">
            <v>347860</v>
          </cell>
          <cell r="B181" t="str">
            <v>-</v>
          </cell>
          <cell r="C181">
            <v>20033</v>
          </cell>
          <cell r="D181" t="str">
            <v>205/50 R17</v>
          </cell>
          <cell r="E181">
            <v>93</v>
          </cell>
          <cell r="F181" t="str">
            <v>T</v>
          </cell>
          <cell r="G181" t="str">
            <v>ICE CONTACT 3 XL</v>
          </cell>
          <cell r="H181">
            <v>347860</v>
          </cell>
          <cell r="I181">
            <v>52199</v>
          </cell>
          <cell r="J181">
            <v>0</v>
          </cell>
          <cell r="K181" t="str">
            <v>P2</v>
          </cell>
          <cell r="L181" t="str">
            <v>G</v>
          </cell>
          <cell r="M181" t="str">
            <v>G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>-</v>
          </cell>
        </row>
        <row r="182">
          <cell r="A182">
            <v>347888</v>
          </cell>
          <cell r="B182" t="str">
            <v>-</v>
          </cell>
          <cell r="C182">
            <v>20011</v>
          </cell>
          <cell r="D182" t="str">
            <v>235/55 R17</v>
          </cell>
          <cell r="E182">
            <v>103</v>
          </cell>
          <cell r="F182" t="str">
            <v>T</v>
          </cell>
          <cell r="G182" t="str">
            <v>ICE CONTACT 3 XL</v>
          </cell>
          <cell r="H182">
            <v>347888</v>
          </cell>
          <cell r="I182">
            <v>52017</v>
          </cell>
          <cell r="J182">
            <v>0</v>
          </cell>
          <cell r="K182" t="str">
            <v>P2</v>
          </cell>
          <cell r="L182" t="str">
            <v>R</v>
          </cell>
          <cell r="M182" t="str">
            <v>R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>-</v>
          </cell>
        </row>
        <row r="183">
          <cell r="A183">
            <v>348020</v>
          </cell>
          <cell r="B183" t="str">
            <v>-</v>
          </cell>
          <cell r="C183">
            <v>20018</v>
          </cell>
          <cell r="D183" t="str">
            <v>175/65 R15</v>
          </cell>
          <cell r="E183">
            <v>88</v>
          </cell>
          <cell r="F183" t="str">
            <v>T</v>
          </cell>
          <cell r="G183" t="str">
            <v>NORD FROST 200 XL</v>
          </cell>
          <cell r="H183">
            <v>348020</v>
          </cell>
          <cell r="I183">
            <v>52341</v>
          </cell>
          <cell r="J183">
            <v>0</v>
          </cell>
          <cell r="K183" t="str">
            <v>P2</v>
          </cell>
          <cell r="L183" t="str">
            <v>Y</v>
          </cell>
          <cell r="M183" t="str">
            <v>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>-</v>
          </cell>
        </row>
        <row r="184">
          <cell r="A184">
            <v>348022</v>
          </cell>
          <cell r="B184" t="str">
            <v>-</v>
          </cell>
          <cell r="C184">
            <v>20016</v>
          </cell>
          <cell r="D184" t="str">
            <v>185/65 R15</v>
          </cell>
          <cell r="E184">
            <v>92</v>
          </cell>
          <cell r="F184" t="str">
            <v>T</v>
          </cell>
          <cell r="G184" t="str">
            <v>NORD FROST 200 XL</v>
          </cell>
          <cell r="H184">
            <v>348022</v>
          </cell>
          <cell r="I184">
            <v>52356</v>
          </cell>
          <cell r="J184">
            <v>0</v>
          </cell>
          <cell r="K184" t="str">
            <v>P2</v>
          </cell>
          <cell r="L184" t="str">
            <v>YG</v>
          </cell>
          <cell r="M184" t="str">
            <v>Y</v>
          </cell>
          <cell r="N184" t="str">
            <v>G</v>
          </cell>
          <cell r="O184" t="str">
            <v/>
          </cell>
          <cell r="P184" t="str">
            <v/>
          </cell>
          <cell r="Q184" t="str">
            <v/>
          </cell>
          <cell r="R184" t="str">
            <v>-</v>
          </cell>
        </row>
        <row r="185">
          <cell r="A185">
            <v>348024</v>
          </cell>
          <cell r="B185" t="str">
            <v>-</v>
          </cell>
          <cell r="C185">
            <v>20021</v>
          </cell>
          <cell r="D185" t="str">
            <v>195/65 R15</v>
          </cell>
          <cell r="E185">
            <v>95</v>
          </cell>
          <cell r="F185" t="str">
            <v>T</v>
          </cell>
          <cell r="G185" t="str">
            <v>NORD FROST 200 XL</v>
          </cell>
          <cell r="H185">
            <v>348024</v>
          </cell>
          <cell r="I185">
            <v>52291</v>
          </cell>
          <cell r="J185">
            <v>0</v>
          </cell>
          <cell r="K185" t="str">
            <v>P2</v>
          </cell>
          <cell r="L185" t="str">
            <v>RRO</v>
          </cell>
          <cell r="M185" t="str">
            <v>R</v>
          </cell>
          <cell r="N185" t="str">
            <v>R</v>
          </cell>
          <cell r="O185" t="str">
            <v>O</v>
          </cell>
          <cell r="P185" t="str">
            <v/>
          </cell>
          <cell r="Q185" t="str">
            <v/>
          </cell>
          <cell r="R185" t="str">
            <v>-</v>
          </cell>
        </row>
        <row r="186">
          <cell r="A186">
            <v>348032</v>
          </cell>
          <cell r="B186" t="str">
            <v>-</v>
          </cell>
          <cell r="C186">
            <v>20221</v>
          </cell>
          <cell r="D186" t="str">
            <v>185/60 R15</v>
          </cell>
          <cell r="E186">
            <v>88</v>
          </cell>
          <cell r="F186" t="str">
            <v>T</v>
          </cell>
          <cell r="G186" t="str">
            <v>NORD FROST 200 XL</v>
          </cell>
          <cell r="H186">
            <v>348032</v>
          </cell>
          <cell r="I186">
            <v>52267</v>
          </cell>
          <cell r="J186">
            <v>0</v>
          </cell>
          <cell r="K186" t="str">
            <v>P2</v>
          </cell>
          <cell r="L186" t="str">
            <v>OG</v>
          </cell>
          <cell r="M186" t="str">
            <v>O</v>
          </cell>
          <cell r="N186" t="str">
            <v>G</v>
          </cell>
          <cell r="O186" t="str">
            <v/>
          </cell>
          <cell r="P186" t="str">
            <v/>
          </cell>
          <cell r="Q186" t="str">
            <v/>
          </cell>
          <cell r="R186" t="str">
            <v>-</v>
          </cell>
        </row>
        <row r="187">
          <cell r="A187">
            <v>348052</v>
          </cell>
          <cell r="B187">
            <v>958</v>
          </cell>
          <cell r="C187">
            <v>20003</v>
          </cell>
          <cell r="D187" t="str">
            <v>215/55 R16</v>
          </cell>
          <cell r="E187">
            <v>97</v>
          </cell>
          <cell r="F187" t="str">
            <v>T</v>
          </cell>
          <cell r="G187" t="str">
            <v>NORD FROST 200</v>
          </cell>
          <cell r="H187">
            <v>348052</v>
          </cell>
          <cell r="I187">
            <v>52448</v>
          </cell>
          <cell r="J187">
            <v>0</v>
          </cell>
          <cell r="K187" t="str">
            <v>P1</v>
          </cell>
          <cell r="L187" t="str">
            <v>RR</v>
          </cell>
          <cell r="M187" t="str">
            <v>R</v>
          </cell>
          <cell r="N187" t="str">
            <v>R</v>
          </cell>
          <cell r="O187" t="str">
            <v/>
          </cell>
          <cell r="P187" t="str">
            <v/>
          </cell>
          <cell r="Q187" t="str">
            <v/>
          </cell>
          <cell r="R187" t="str">
            <v>-</v>
          </cell>
        </row>
        <row r="188">
          <cell r="A188">
            <v>348108</v>
          </cell>
          <cell r="B188" t="str">
            <v>-</v>
          </cell>
          <cell r="C188">
            <v>20029</v>
          </cell>
          <cell r="D188" t="str">
            <v>215/65 R16</v>
          </cell>
          <cell r="E188">
            <v>102</v>
          </cell>
          <cell r="F188" t="str">
            <v>T</v>
          </cell>
          <cell r="G188" t="str">
            <v>NORD FROST 200 XL</v>
          </cell>
          <cell r="H188">
            <v>348108</v>
          </cell>
          <cell r="I188">
            <v>52550</v>
          </cell>
          <cell r="J188">
            <v>0</v>
          </cell>
          <cell r="K188" t="str">
            <v>P7</v>
          </cell>
          <cell r="L188" t="str">
            <v>GGR</v>
          </cell>
          <cell r="M188" t="str">
            <v>G</v>
          </cell>
          <cell r="N188" t="str">
            <v>G</v>
          </cell>
          <cell r="O188" t="str">
            <v>R</v>
          </cell>
          <cell r="P188" t="str">
            <v/>
          </cell>
          <cell r="Q188" t="str">
            <v/>
          </cell>
          <cell r="R188" t="str">
            <v>-</v>
          </cell>
        </row>
        <row r="189">
          <cell r="A189">
            <v>348132</v>
          </cell>
          <cell r="B189">
            <v>940</v>
          </cell>
          <cell r="C189">
            <v>20012</v>
          </cell>
          <cell r="D189" t="str">
            <v>235/55 R17</v>
          </cell>
          <cell r="E189">
            <v>103</v>
          </cell>
          <cell r="F189" t="str">
            <v>T</v>
          </cell>
          <cell r="G189" t="str">
            <v>NORD FROST 200 XL</v>
          </cell>
          <cell r="H189">
            <v>348132</v>
          </cell>
          <cell r="I189">
            <v>52039</v>
          </cell>
          <cell r="J189">
            <v>0</v>
          </cell>
          <cell r="K189" t="str">
            <v>P2</v>
          </cell>
          <cell r="L189" t="str">
            <v>OG</v>
          </cell>
          <cell r="M189" t="str">
            <v>O</v>
          </cell>
          <cell r="N189" t="str">
            <v>G</v>
          </cell>
          <cell r="O189" t="str">
            <v/>
          </cell>
          <cell r="P189" t="str">
            <v/>
          </cell>
          <cell r="Q189" t="str">
            <v/>
          </cell>
          <cell r="R189" t="str">
            <v>-</v>
          </cell>
        </row>
        <row r="190">
          <cell r="A190">
            <v>348154</v>
          </cell>
          <cell r="B190" t="str">
            <v>-</v>
          </cell>
          <cell r="C190">
            <v>20019</v>
          </cell>
          <cell r="D190" t="str">
            <v>175/65 R15</v>
          </cell>
          <cell r="E190">
            <v>88</v>
          </cell>
          <cell r="F190" t="str">
            <v>T</v>
          </cell>
          <cell r="G190" t="str">
            <v>SOFT FROST 200 XL</v>
          </cell>
          <cell r="H190">
            <v>348154</v>
          </cell>
          <cell r="I190">
            <v>52307</v>
          </cell>
          <cell r="J190">
            <v>0</v>
          </cell>
          <cell r="K190" t="str">
            <v>P2</v>
          </cell>
          <cell r="L190" t="str">
            <v>AAAAA</v>
          </cell>
          <cell r="M190" t="str">
            <v>A</v>
          </cell>
          <cell r="N190" t="str">
            <v>A</v>
          </cell>
          <cell r="O190" t="str">
            <v>A</v>
          </cell>
          <cell r="P190" t="str">
            <v>A</v>
          </cell>
          <cell r="Q190" t="str">
            <v>A</v>
          </cell>
          <cell r="R190" t="str">
            <v>-</v>
          </cell>
        </row>
        <row r="191">
          <cell r="A191">
            <v>348155</v>
          </cell>
          <cell r="B191" t="str">
            <v>-</v>
          </cell>
          <cell r="C191">
            <v>20007</v>
          </cell>
          <cell r="D191" t="str">
            <v>185/65 R15</v>
          </cell>
          <cell r="E191">
            <v>92</v>
          </cell>
          <cell r="F191" t="str">
            <v>T</v>
          </cell>
          <cell r="G191" t="str">
            <v>SOFT FROST 200 XL</v>
          </cell>
          <cell r="H191">
            <v>348155</v>
          </cell>
          <cell r="I191">
            <v>52700</v>
          </cell>
          <cell r="J191">
            <v>0</v>
          </cell>
          <cell r="K191" t="str">
            <v>P2</v>
          </cell>
          <cell r="L191" t="str">
            <v>AYGGR</v>
          </cell>
          <cell r="M191" t="str">
            <v>A</v>
          </cell>
          <cell r="N191" t="str">
            <v>Y</v>
          </cell>
          <cell r="O191" t="str">
            <v>G</v>
          </cell>
          <cell r="P191" t="str">
            <v>G</v>
          </cell>
          <cell r="Q191" t="str">
            <v>R</v>
          </cell>
          <cell r="R191" t="str">
            <v>-</v>
          </cell>
        </row>
        <row r="192">
          <cell r="A192">
            <v>348156</v>
          </cell>
          <cell r="B192">
            <v>930</v>
          </cell>
          <cell r="C192">
            <v>20008</v>
          </cell>
          <cell r="D192" t="str">
            <v>195/65 R15</v>
          </cell>
          <cell r="E192">
            <v>95</v>
          </cell>
          <cell r="F192" t="str">
            <v>T</v>
          </cell>
          <cell r="G192" t="str">
            <v>SOFT FROST 200 XL</v>
          </cell>
          <cell r="H192">
            <v>348156</v>
          </cell>
          <cell r="I192">
            <v>52829</v>
          </cell>
          <cell r="J192">
            <v>0</v>
          </cell>
          <cell r="K192" t="str">
            <v>P2</v>
          </cell>
          <cell r="L192" t="str">
            <v>WWAAG</v>
          </cell>
          <cell r="M192" t="str">
            <v>W</v>
          </cell>
          <cell r="N192" t="str">
            <v>W</v>
          </cell>
          <cell r="O192" t="str">
            <v>A</v>
          </cell>
          <cell r="P192" t="str">
            <v>A</v>
          </cell>
          <cell r="Q192" t="str">
            <v>G</v>
          </cell>
          <cell r="R192" t="str">
            <v>-</v>
          </cell>
        </row>
        <row r="193">
          <cell r="A193">
            <v>348157</v>
          </cell>
          <cell r="B193" t="str">
            <v>-</v>
          </cell>
          <cell r="C193">
            <v>20208</v>
          </cell>
          <cell r="D193" t="str">
            <v>185/60 R15</v>
          </cell>
          <cell r="E193">
            <v>88</v>
          </cell>
          <cell r="F193" t="str">
            <v>T</v>
          </cell>
          <cell r="G193" t="str">
            <v>SOFT FROST 200 XL</v>
          </cell>
          <cell r="H193">
            <v>348157</v>
          </cell>
          <cell r="I193">
            <v>52257</v>
          </cell>
          <cell r="J193">
            <v>0</v>
          </cell>
          <cell r="K193" t="str">
            <v>P2</v>
          </cell>
          <cell r="L193" t="str">
            <v>AAAAY</v>
          </cell>
          <cell r="M193" t="str">
            <v>A</v>
          </cell>
          <cell r="N193" t="str">
            <v>A</v>
          </cell>
          <cell r="O193" t="str">
            <v>A</v>
          </cell>
          <cell r="P193" t="str">
            <v>A</v>
          </cell>
          <cell r="Q193" t="str">
            <v>Y</v>
          </cell>
          <cell r="R193" t="str">
            <v>-</v>
          </cell>
        </row>
        <row r="194">
          <cell r="A194">
            <v>348162</v>
          </cell>
          <cell r="B194" t="str">
            <v>-</v>
          </cell>
          <cell r="C194">
            <v>20009</v>
          </cell>
          <cell r="D194" t="str">
            <v>195/55 R16</v>
          </cell>
          <cell r="E194">
            <v>91</v>
          </cell>
          <cell r="F194" t="str">
            <v>T</v>
          </cell>
          <cell r="G194" t="str">
            <v>SOFT FROST 200 XL</v>
          </cell>
          <cell r="H194">
            <v>348162</v>
          </cell>
          <cell r="I194">
            <v>52324</v>
          </cell>
          <cell r="J194">
            <v>0</v>
          </cell>
          <cell r="K194" t="str">
            <v>P2</v>
          </cell>
          <cell r="L194" t="str">
            <v>WWGYA</v>
          </cell>
          <cell r="M194" t="str">
            <v>W</v>
          </cell>
          <cell r="N194" t="str">
            <v>W</v>
          </cell>
          <cell r="O194" t="str">
            <v>G</v>
          </cell>
          <cell r="P194" t="str">
            <v>Y</v>
          </cell>
          <cell r="Q194" t="str">
            <v>A</v>
          </cell>
          <cell r="R194" t="str">
            <v>-</v>
          </cell>
        </row>
        <row r="195">
          <cell r="A195">
            <v>348209</v>
          </cell>
          <cell r="B195" t="str">
            <v>-</v>
          </cell>
          <cell r="C195">
            <v>20121</v>
          </cell>
          <cell r="D195" t="str">
            <v>195/65 R15</v>
          </cell>
          <cell r="E195">
            <v>95</v>
          </cell>
          <cell r="F195" t="str">
            <v>T</v>
          </cell>
          <cell r="G195" t="str">
            <v>NORD FROST 200 XL</v>
          </cell>
          <cell r="H195">
            <v>348209</v>
          </cell>
          <cell r="I195">
            <v>52116</v>
          </cell>
          <cell r="J195">
            <v>0</v>
          </cell>
          <cell r="K195" t="str">
            <v>P2</v>
          </cell>
          <cell r="L195" t="str">
            <v>GGO</v>
          </cell>
          <cell r="M195" t="str">
            <v>G</v>
          </cell>
          <cell r="N195" t="str">
            <v>G</v>
          </cell>
          <cell r="O195" t="str">
            <v>O</v>
          </cell>
          <cell r="P195" t="str">
            <v/>
          </cell>
          <cell r="Q195" t="str">
            <v/>
          </cell>
          <cell r="R195" t="str">
            <v>-</v>
          </cell>
        </row>
        <row r="196">
          <cell r="A196">
            <v>349010</v>
          </cell>
          <cell r="B196" t="str">
            <v>-</v>
          </cell>
          <cell r="C196">
            <v>20035</v>
          </cell>
          <cell r="D196" t="str">
            <v>215/50 R17</v>
          </cell>
          <cell r="E196">
            <v>95</v>
          </cell>
          <cell r="F196" t="str">
            <v>T</v>
          </cell>
          <cell r="G196" t="str">
            <v>ICE CONTACT 3 XL</v>
          </cell>
          <cell r="H196">
            <v>349010</v>
          </cell>
          <cell r="I196">
            <v>52874</v>
          </cell>
          <cell r="J196">
            <v>0</v>
          </cell>
          <cell r="K196" t="str">
            <v>P2</v>
          </cell>
          <cell r="L196" t="str">
            <v>OO</v>
          </cell>
          <cell r="M196" t="str">
            <v>O</v>
          </cell>
          <cell r="N196" t="str">
            <v>O</v>
          </cell>
          <cell r="O196" t="str">
            <v/>
          </cell>
          <cell r="P196" t="str">
            <v/>
          </cell>
          <cell r="Q196" t="str">
            <v/>
          </cell>
          <cell r="R196" t="str">
            <v>-</v>
          </cell>
        </row>
        <row r="197">
          <cell r="A197">
            <v>349173</v>
          </cell>
          <cell r="B197" t="str">
            <v>-</v>
          </cell>
          <cell r="C197">
            <v>20054</v>
          </cell>
          <cell r="D197" t="str">
            <v>185/65 R15</v>
          </cell>
          <cell r="E197">
            <v>92</v>
          </cell>
          <cell r="F197" t="str">
            <v>T</v>
          </cell>
          <cell r="G197" t="str">
            <v>ICE CONTACT 8 XL</v>
          </cell>
          <cell r="H197">
            <v>349173</v>
          </cell>
          <cell r="I197">
            <v>52400</v>
          </cell>
          <cell r="J197">
            <v>0</v>
          </cell>
          <cell r="K197" t="str">
            <v>P2</v>
          </cell>
          <cell r="L197" t="str">
            <v>GOO</v>
          </cell>
          <cell r="M197" t="str">
            <v>G</v>
          </cell>
          <cell r="N197" t="str">
            <v>O</v>
          </cell>
          <cell r="O197" t="str">
            <v>O</v>
          </cell>
          <cell r="P197" t="str">
            <v/>
          </cell>
          <cell r="Q197" t="str">
            <v/>
          </cell>
          <cell r="R197" t="str">
            <v>-</v>
          </cell>
        </row>
        <row r="198">
          <cell r="A198">
            <v>349177</v>
          </cell>
          <cell r="B198" t="str">
            <v>-</v>
          </cell>
          <cell r="C198">
            <v>20052</v>
          </cell>
          <cell r="D198" t="str">
            <v>195/55 R16</v>
          </cell>
          <cell r="E198">
            <v>91</v>
          </cell>
          <cell r="F198" t="str">
            <v>T</v>
          </cell>
          <cell r="G198" t="str">
            <v>ICE CONTACT 8 XL</v>
          </cell>
          <cell r="H198">
            <v>349177</v>
          </cell>
          <cell r="I198">
            <v>52763</v>
          </cell>
          <cell r="J198">
            <v>0</v>
          </cell>
          <cell r="K198" t="str">
            <v>P2</v>
          </cell>
          <cell r="L198" t="str">
            <v>GG</v>
          </cell>
          <cell r="M198" t="str">
            <v>G</v>
          </cell>
          <cell r="N198" t="str">
            <v>G</v>
          </cell>
          <cell r="O198" t="str">
            <v/>
          </cell>
          <cell r="P198" t="str">
            <v/>
          </cell>
          <cell r="Q198" t="str">
            <v/>
          </cell>
          <cell r="R198" t="str">
            <v>-</v>
          </cell>
        </row>
        <row r="199">
          <cell r="A199">
            <v>349243</v>
          </cell>
          <cell r="B199" t="str">
            <v>-</v>
          </cell>
          <cell r="C199">
            <v>20056</v>
          </cell>
          <cell r="D199" t="str">
            <v>225/55 R19</v>
          </cell>
          <cell r="E199">
            <v>103</v>
          </cell>
          <cell r="F199" t="str">
            <v>T</v>
          </cell>
          <cell r="G199" t="str">
            <v>ICE CONTACT 8 XL</v>
          </cell>
          <cell r="H199">
            <v>349243</v>
          </cell>
          <cell r="I199">
            <v>52408</v>
          </cell>
          <cell r="J199">
            <v>0</v>
          </cell>
          <cell r="K199" t="str">
            <v>P2</v>
          </cell>
          <cell r="L199" t="str">
            <v>GR</v>
          </cell>
          <cell r="M199" t="str">
            <v>G</v>
          </cell>
          <cell r="N199" t="str">
            <v>R</v>
          </cell>
          <cell r="O199" t="str">
            <v/>
          </cell>
          <cell r="P199" t="str">
            <v/>
          </cell>
          <cell r="Q199" t="str">
            <v/>
          </cell>
          <cell r="R199" t="str">
            <v>-</v>
          </cell>
        </row>
        <row r="200">
          <cell r="A200">
            <v>349267</v>
          </cell>
          <cell r="B200" t="str">
            <v>-</v>
          </cell>
          <cell r="C200">
            <v>20057</v>
          </cell>
          <cell r="D200" t="str">
            <v>235/50 R20</v>
          </cell>
          <cell r="E200">
            <v>104</v>
          </cell>
          <cell r="F200" t="str">
            <v>T</v>
          </cell>
          <cell r="G200" t="str">
            <v>ICE CONTACT 8 XL</v>
          </cell>
          <cell r="H200">
            <v>349267</v>
          </cell>
          <cell r="I200">
            <v>52475</v>
          </cell>
          <cell r="J200">
            <v>0</v>
          </cell>
          <cell r="K200" t="str">
            <v>P2</v>
          </cell>
          <cell r="L200" t="str">
            <v>RRR</v>
          </cell>
          <cell r="M200" t="str">
            <v>R</v>
          </cell>
          <cell r="N200" t="str">
            <v>R</v>
          </cell>
          <cell r="O200" t="str">
            <v>R</v>
          </cell>
          <cell r="P200" t="str">
            <v/>
          </cell>
          <cell r="Q200" t="str">
            <v/>
          </cell>
          <cell r="R200" t="str">
            <v>-</v>
          </cell>
        </row>
        <row r="201">
          <cell r="A201">
            <v>349333</v>
          </cell>
          <cell r="B201" t="str">
            <v>-</v>
          </cell>
          <cell r="C201">
            <v>20051</v>
          </cell>
          <cell r="D201" t="str">
            <v>205/60 R17</v>
          </cell>
          <cell r="E201">
            <v>97</v>
          </cell>
          <cell r="F201" t="str">
            <v>T</v>
          </cell>
          <cell r="G201" t="str">
            <v>ICE CONTACT 8 XL</v>
          </cell>
          <cell r="H201">
            <v>349333</v>
          </cell>
          <cell r="I201">
            <v>52758</v>
          </cell>
          <cell r="J201">
            <v>0</v>
          </cell>
          <cell r="K201" t="str">
            <v>-</v>
          </cell>
          <cell r="L201" t="str">
            <v>OGO</v>
          </cell>
          <cell r="M201" t="str">
            <v>O</v>
          </cell>
          <cell r="N201" t="str">
            <v>G</v>
          </cell>
          <cell r="O201" t="str">
            <v>O</v>
          </cell>
          <cell r="P201" t="str">
            <v/>
          </cell>
          <cell r="Q201" t="str">
            <v/>
          </cell>
          <cell r="R201" t="str">
            <v>-</v>
          </cell>
        </row>
        <row r="202">
          <cell r="A202">
            <v>349337</v>
          </cell>
          <cell r="B202" t="str">
            <v>-</v>
          </cell>
          <cell r="C202">
            <v>20055</v>
          </cell>
          <cell r="D202" t="str">
            <v>235/55 R17</v>
          </cell>
          <cell r="E202">
            <v>103</v>
          </cell>
          <cell r="F202" t="str">
            <v>T</v>
          </cell>
          <cell r="G202" t="str">
            <v>ICE CONTACT 8 XL</v>
          </cell>
          <cell r="H202">
            <v>349337</v>
          </cell>
          <cell r="I202">
            <v>52405</v>
          </cell>
          <cell r="J202">
            <v>0</v>
          </cell>
          <cell r="K202" t="str">
            <v>P2</v>
          </cell>
          <cell r="L202" t="str">
            <v>GR</v>
          </cell>
          <cell r="M202" t="str">
            <v>G</v>
          </cell>
          <cell r="N202" t="str">
            <v>R</v>
          </cell>
          <cell r="O202" t="str">
            <v/>
          </cell>
          <cell r="P202" t="str">
            <v/>
          </cell>
          <cell r="Q202" t="str">
            <v/>
          </cell>
          <cell r="R202" t="str">
            <v>-</v>
          </cell>
        </row>
        <row r="203">
          <cell r="A203">
            <v>350315</v>
          </cell>
          <cell r="B203">
            <v>789</v>
          </cell>
          <cell r="C203">
            <v>5016</v>
          </cell>
          <cell r="D203" t="str">
            <v>245/40 R17</v>
          </cell>
          <cell r="E203">
            <v>91</v>
          </cell>
          <cell r="F203" t="str">
            <v>H</v>
          </cell>
          <cell r="G203" t="str">
            <v>CPROC</v>
          </cell>
          <cell r="H203">
            <v>350315</v>
          </cell>
          <cell r="I203">
            <v>52784</v>
          </cell>
          <cell r="J203">
            <v>0</v>
          </cell>
          <cell r="K203" t="str">
            <v>-</v>
          </cell>
          <cell r="L203" t="str">
            <v>GARG</v>
          </cell>
          <cell r="M203" t="str">
            <v>G</v>
          </cell>
          <cell r="N203" t="str">
            <v>A</v>
          </cell>
          <cell r="O203" t="str">
            <v>R</v>
          </cell>
          <cell r="P203" t="str">
            <v>G</v>
          </cell>
          <cell r="Q203" t="str">
            <v/>
          </cell>
          <cell r="R203" t="str">
            <v>-</v>
          </cell>
        </row>
        <row r="204">
          <cell r="A204">
            <v>350367</v>
          </cell>
          <cell r="B204">
            <v>730</v>
          </cell>
          <cell r="C204">
            <v>6057</v>
          </cell>
          <cell r="D204" t="str">
            <v>235/55 R17</v>
          </cell>
          <cell r="E204">
            <v>99</v>
          </cell>
          <cell r="F204" t="str">
            <v>H</v>
          </cell>
          <cell r="G204" t="str">
            <v>CPROC</v>
          </cell>
          <cell r="H204">
            <v>350367</v>
          </cell>
          <cell r="I204">
            <v>52730</v>
          </cell>
          <cell r="J204">
            <v>0</v>
          </cell>
          <cell r="K204" t="str">
            <v>R</v>
          </cell>
          <cell r="L204" t="str">
            <v>YYWGW</v>
          </cell>
          <cell r="M204" t="str">
            <v>Y</v>
          </cell>
          <cell r="N204" t="str">
            <v>Y</v>
          </cell>
          <cell r="O204" t="str">
            <v>W</v>
          </cell>
          <cell r="P204" t="str">
            <v>G</v>
          </cell>
          <cell r="Q204" t="str">
            <v>W</v>
          </cell>
          <cell r="R204" t="str">
            <v>-</v>
          </cell>
        </row>
        <row r="205">
          <cell r="A205">
            <v>350503</v>
          </cell>
          <cell r="B205">
            <v>207</v>
          </cell>
          <cell r="C205">
            <v>2065</v>
          </cell>
          <cell r="D205" t="str">
            <v>165/60 R15</v>
          </cell>
          <cell r="E205">
            <v>77</v>
          </cell>
          <cell r="F205" t="str">
            <v>T</v>
          </cell>
          <cell r="G205" t="str">
            <v>CPROC</v>
          </cell>
          <cell r="H205">
            <v>350503</v>
          </cell>
          <cell r="I205">
            <v>52891</v>
          </cell>
          <cell r="J205">
            <v>0</v>
          </cell>
          <cell r="K205" t="str">
            <v>P8</v>
          </cell>
          <cell r="L205" t="str">
            <v>WOGR</v>
          </cell>
          <cell r="M205" t="str">
            <v>W</v>
          </cell>
          <cell r="N205" t="str">
            <v>O</v>
          </cell>
          <cell r="O205" t="str">
            <v>G</v>
          </cell>
          <cell r="P205" t="str">
            <v>R</v>
          </cell>
          <cell r="Q205" t="str">
            <v/>
          </cell>
          <cell r="R205" t="str">
            <v>-</v>
          </cell>
        </row>
        <row r="206">
          <cell r="A206">
            <v>350504</v>
          </cell>
          <cell r="B206">
            <v>247</v>
          </cell>
          <cell r="C206">
            <v>4020</v>
          </cell>
          <cell r="D206" t="str">
            <v>195/50 R15</v>
          </cell>
          <cell r="E206">
            <v>82</v>
          </cell>
          <cell r="F206" t="str">
            <v>T</v>
          </cell>
          <cell r="G206" t="str">
            <v>CPROC</v>
          </cell>
          <cell r="H206">
            <v>350504</v>
          </cell>
          <cell r="I206">
            <v>52896</v>
          </cell>
          <cell r="J206">
            <v>0</v>
          </cell>
          <cell r="K206" t="str">
            <v>P4</v>
          </cell>
          <cell r="L206" t="str">
            <v>AGAAA</v>
          </cell>
          <cell r="M206" t="str">
            <v>A</v>
          </cell>
          <cell r="N206" t="str">
            <v>G</v>
          </cell>
          <cell r="O206" t="str">
            <v>A</v>
          </cell>
          <cell r="P206" t="str">
            <v>A</v>
          </cell>
          <cell r="Q206" t="str">
            <v>A</v>
          </cell>
          <cell r="R206" t="str">
            <v>-</v>
          </cell>
        </row>
        <row r="207">
          <cell r="A207">
            <v>350736</v>
          </cell>
          <cell r="B207">
            <v>914</v>
          </cell>
          <cell r="C207">
            <v>6055</v>
          </cell>
          <cell r="D207" t="str">
            <v>245/45 R17</v>
          </cell>
          <cell r="E207">
            <v>99</v>
          </cell>
          <cell r="F207" t="str">
            <v>Y</v>
          </cell>
          <cell r="G207" t="str">
            <v>CSC5 XL</v>
          </cell>
          <cell r="H207">
            <v>350736</v>
          </cell>
          <cell r="I207">
            <v>52813</v>
          </cell>
          <cell r="J207">
            <v>0</v>
          </cell>
          <cell r="K207" t="str">
            <v>R2</v>
          </cell>
          <cell r="L207" t="str">
            <v>OOWGA</v>
          </cell>
          <cell r="M207" t="str">
            <v>O</v>
          </cell>
          <cell r="N207" t="str">
            <v>O</v>
          </cell>
          <cell r="O207" t="str">
            <v>W</v>
          </cell>
          <cell r="P207" t="str">
            <v>G</v>
          </cell>
          <cell r="Q207" t="str">
            <v>A</v>
          </cell>
          <cell r="R207" t="str">
            <v>-</v>
          </cell>
        </row>
        <row r="208">
          <cell r="A208">
            <v>351001</v>
          </cell>
          <cell r="B208" t="str">
            <v>-</v>
          </cell>
          <cell r="C208">
            <v>0</v>
          </cell>
          <cell r="D208" t="str">
            <v>10/10 R14</v>
          </cell>
          <cell r="E208">
            <v>10</v>
          </cell>
          <cell r="F208" t="str">
            <v>-</v>
          </cell>
          <cell r="G208">
            <v>10</v>
          </cell>
          <cell r="H208">
            <v>351001</v>
          </cell>
          <cell r="I208">
            <v>0</v>
          </cell>
          <cell r="J208">
            <v>0</v>
          </cell>
          <cell r="K208" t="str">
            <v>-</v>
          </cell>
          <cell r="L208" t="str">
            <v>AAAAAA</v>
          </cell>
          <cell r="M208" t="str">
            <v>A</v>
          </cell>
          <cell r="N208" t="str">
            <v>A</v>
          </cell>
          <cell r="O208" t="str">
            <v>A</v>
          </cell>
          <cell r="P208" t="str">
            <v>A</v>
          </cell>
          <cell r="Q208" t="str">
            <v>A</v>
          </cell>
          <cell r="R208" t="str">
            <v>PR-1HH</v>
          </cell>
        </row>
        <row r="209">
          <cell r="A209">
            <v>351235</v>
          </cell>
          <cell r="B209">
            <v>197</v>
          </cell>
          <cell r="C209">
            <v>6024</v>
          </cell>
          <cell r="D209" t="str">
            <v>145/65 R15</v>
          </cell>
          <cell r="E209">
            <v>72</v>
          </cell>
          <cell r="F209" t="str">
            <v>T</v>
          </cell>
          <cell r="G209" t="str">
            <v>CONTI.ECONTACT</v>
          </cell>
          <cell r="H209">
            <v>351235</v>
          </cell>
          <cell r="I209">
            <v>52852</v>
          </cell>
          <cell r="J209">
            <v>0</v>
          </cell>
          <cell r="K209" t="str">
            <v>P4</v>
          </cell>
          <cell r="L209" t="str">
            <v>RA</v>
          </cell>
          <cell r="M209" t="str">
            <v>R</v>
          </cell>
          <cell r="N209" t="str">
            <v>A</v>
          </cell>
          <cell r="O209" t="str">
            <v/>
          </cell>
          <cell r="P209" t="str">
            <v/>
          </cell>
          <cell r="Q209" t="str">
            <v/>
          </cell>
          <cell r="R209" t="str">
            <v>-</v>
          </cell>
        </row>
        <row r="210">
          <cell r="A210">
            <v>351255</v>
          </cell>
          <cell r="B210">
            <v>77</v>
          </cell>
          <cell r="C210">
            <v>79</v>
          </cell>
          <cell r="D210" t="str">
            <v>175/55 R15</v>
          </cell>
          <cell r="E210">
            <v>77</v>
          </cell>
          <cell r="F210" t="str">
            <v>T</v>
          </cell>
          <cell r="G210" t="str">
            <v>CEC EP</v>
          </cell>
          <cell r="H210">
            <v>351255</v>
          </cell>
          <cell r="I210">
            <v>52196</v>
          </cell>
          <cell r="J210">
            <v>0</v>
          </cell>
          <cell r="K210" t="str">
            <v>P4</v>
          </cell>
          <cell r="L210" t="str">
            <v>AOO</v>
          </cell>
          <cell r="M210" t="str">
            <v>A</v>
          </cell>
          <cell r="N210" t="str">
            <v>O</v>
          </cell>
          <cell r="O210" t="str">
            <v>O</v>
          </cell>
          <cell r="P210" t="str">
            <v/>
          </cell>
          <cell r="Q210" t="str">
            <v/>
          </cell>
          <cell r="R210" t="str">
            <v>-</v>
          </cell>
        </row>
        <row r="211">
          <cell r="A211">
            <v>351886</v>
          </cell>
          <cell r="B211">
            <v>225</v>
          </cell>
          <cell r="C211">
            <v>37</v>
          </cell>
          <cell r="D211" t="str">
            <v>185/65 R15</v>
          </cell>
          <cell r="E211">
            <v>88</v>
          </cell>
          <cell r="F211" t="str">
            <v>T</v>
          </cell>
          <cell r="G211" t="str">
            <v>CEC3</v>
          </cell>
          <cell r="H211">
            <v>351886</v>
          </cell>
          <cell r="I211">
            <v>52453</v>
          </cell>
          <cell r="J211">
            <v>0</v>
          </cell>
          <cell r="K211" t="str">
            <v>P4</v>
          </cell>
          <cell r="L211" t="str">
            <v>YARR</v>
          </cell>
          <cell r="M211" t="str">
            <v>Y</v>
          </cell>
          <cell r="N211" t="str">
            <v>A</v>
          </cell>
          <cell r="O211" t="str">
            <v>R</v>
          </cell>
          <cell r="P211" t="str">
            <v>R</v>
          </cell>
          <cell r="Q211" t="str">
            <v/>
          </cell>
          <cell r="R211" t="str">
            <v>-</v>
          </cell>
        </row>
        <row r="212">
          <cell r="A212">
            <v>352130</v>
          </cell>
          <cell r="B212">
            <v>23</v>
          </cell>
          <cell r="C212">
            <v>83</v>
          </cell>
          <cell r="D212" t="str">
            <v>205/55 R16</v>
          </cell>
          <cell r="E212">
            <v>91</v>
          </cell>
          <cell r="F212" t="str">
            <v>H</v>
          </cell>
          <cell r="G212" t="str">
            <v>CPROC</v>
          </cell>
          <cell r="H212">
            <v>352130</v>
          </cell>
          <cell r="I212">
            <v>52545</v>
          </cell>
          <cell r="J212">
            <v>0</v>
          </cell>
          <cell r="K212" t="str">
            <v>R</v>
          </cell>
          <cell r="L212" t="str">
            <v>RRRGG</v>
          </cell>
          <cell r="M212" t="str">
            <v>R</v>
          </cell>
          <cell r="N212" t="str">
            <v>R</v>
          </cell>
          <cell r="O212" t="str">
            <v>R</v>
          </cell>
          <cell r="P212" t="str">
            <v>G</v>
          </cell>
          <cell r="Q212" t="str">
            <v>G</v>
          </cell>
          <cell r="R212" t="str">
            <v>-</v>
          </cell>
        </row>
        <row r="213">
          <cell r="A213">
            <v>352209</v>
          </cell>
          <cell r="B213">
            <v>168</v>
          </cell>
          <cell r="C213">
            <v>2006</v>
          </cell>
          <cell r="D213" t="str">
            <v>195/65 R15</v>
          </cell>
          <cell r="E213">
            <v>91</v>
          </cell>
          <cell r="F213" t="str">
            <v>H</v>
          </cell>
          <cell r="G213" t="str">
            <v>CPROC</v>
          </cell>
          <cell r="H213">
            <v>352209</v>
          </cell>
          <cell r="I213">
            <v>52490</v>
          </cell>
          <cell r="J213">
            <v>0</v>
          </cell>
          <cell r="K213" t="str">
            <v>R</v>
          </cell>
          <cell r="L213" t="str">
            <v>GGGR</v>
          </cell>
          <cell r="M213" t="str">
            <v>G</v>
          </cell>
          <cell r="N213" t="str">
            <v>G</v>
          </cell>
          <cell r="O213" t="str">
            <v>G</v>
          </cell>
          <cell r="P213" t="str">
            <v>R</v>
          </cell>
          <cell r="Q213" t="str">
            <v/>
          </cell>
          <cell r="R213" t="str">
            <v>-</v>
          </cell>
        </row>
        <row r="214">
          <cell r="A214">
            <v>352861</v>
          </cell>
          <cell r="B214">
            <v>156</v>
          </cell>
          <cell r="C214">
            <v>3006</v>
          </cell>
          <cell r="D214" t="str">
            <v>155/60 R15</v>
          </cell>
          <cell r="E214">
            <v>74</v>
          </cell>
          <cell r="F214" t="str">
            <v>T</v>
          </cell>
          <cell r="G214" t="str">
            <v>CPROC</v>
          </cell>
          <cell r="H214">
            <v>352861</v>
          </cell>
          <cell r="I214">
            <v>52660</v>
          </cell>
          <cell r="J214">
            <v>0</v>
          </cell>
          <cell r="K214" t="str">
            <v>P4</v>
          </cell>
          <cell r="L214" t="str">
            <v>WGG</v>
          </cell>
          <cell r="M214" t="str">
            <v>W</v>
          </cell>
          <cell r="N214" t="str">
            <v>G</v>
          </cell>
          <cell r="O214" t="str">
            <v>G</v>
          </cell>
          <cell r="P214" t="str">
            <v/>
          </cell>
          <cell r="Q214" t="str">
            <v/>
          </cell>
          <cell r="R214" t="str">
            <v>-</v>
          </cell>
        </row>
        <row r="215">
          <cell r="A215">
            <v>352864</v>
          </cell>
          <cell r="B215">
            <v>171</v>
          </cell>
          <cell r="C215">
            <v>5014</v>
          </cell>
          <cell r="D215" t="str">
            <v>225/45 R17</v>
          </cell>
          <cell r="E215">
            <v>91</v>
          </cell>
          <cell r="F215" t="str">
            <v>H</v>
          </cell>
          <cell r="G215" t="str">
            <v>CPROC</v>
          </cell>
          <cell r="H215">
            <v>352864</v>
          </cell>
          <cell r="I215">
            <v>52172</v>
          </cell>
          <cell r="J215">
            <v>0</v>
          </cell>
          <cell r="K215" t="str">
            <v>R</v>
          </cell>
          <cell r="L215" t="str">
            <v>RROOY</v>
          </cell>
          <cell r="M215" t="str">
            <v>R</v>
          </cell>
          <cell r="N215" t="str">
            <v>R</v>
          </cell>
          <cell r="O215" t="str">
            <v>O</v>
          </cell>
          <cell r="P215" t="str">
            <v>O</v>
          </cell>
          <cell r="Q215" t="str">
            <v>Y</v>
          </cell>
          <cell r="R215" t="str">
            <v>-</v>
          </cell>
        </row>
        <row r="216">
          <cell r="A216">
            <v>352889</v>
          </cell>
          <cell r="B216">
            <v>92</v>
          </cell>
          <cell r="C216">
            <v>2058</v>
          </cell>
          <cell r="D216" t="str">
            <v>175/55 R15</v>
          </cell>
          <cell r="E216">
            <v>77</v>
          </cell>
          <cell r="F216" t="str">
            <v>T</v>
          </cell>
          <cell r="G216" t="str">
            <v>CEC3</v>
          </cell>
          <cell r="H216">
            <v>352889</v>
          </cell>
          <cell r="I216">
            <v>52582</v>
          </cell>
          <cell r="J216">
            <v>0</v>
          </cell>
          <cell r="K216" t="str">
            <v>P4</v>
          </cell>
          <cell r="L216" t="str">
            <v>WYW</v>
          </cell>
          <cell r="M216" t="str">
            <v>W</v>
          </cell>
          <cell r="N216" t="str">
            <v>Y</v>
          </cell>
          <cell r="O216" t="str">
            <v>W</v>
          </cell>
          <cell r="P216" t="str">
            <v/>
          </cell>
          <cell r="Q216" t="str">
            <v/>
          </cell>
          <cell r="R216" t="str">
            <v>-</v>
          </cell>
        </row>
        <row r="217">
          <cell r="A217">
            <v>353075</v>
          </cell>
          <cell r="B217">
            <v>231</v>
          </cell>
          <cell r="C217">
            <v>2047</v>
          </cell>
          <cell r="D217" t="str">
            <v>215/55 R16</v>
          </cell>
          <cell r="E217">
            <v>93</v>
          </cell>
          <cell r="F217" t="str">
            <v>H</v>
          </cell>
          <cell r="G217" t="str">
            <v>TS830P</v>
          </cell>
          <cell r="H217">
            <v>353075</v>
          </cell>
          <cell r="I217">
            <v>52031</v>
          </cell>
          <cell r="J217">
            <v>0</v>
          </cell>
          <cell r="K217" t="str">
            <v>P4</v>
          </cell>
          <cell r="L217" t="str">
            <v>RWAGR</v>
          </cell>
          <cell r="M217" t="str">
            <v>R</v>
          </cell>
          <cell r="N217" t="str">
            <v>W</v>
          </cell>
          <cell r="O217" t="str">
            <v>A</v>
          </cell>
          <cell r="P217" t="str">
            <v>G</v>
          </cell>
          <cell r="Q217" t="str">
            <v>R</v>
          </cell>
          <cell r="R217" t="str">
            <v>-</v>
          </cell>
        </row>
        <row r="218">
          <cell r="A218">
            <v>353125</v>
          </cell>
          <cell r="B218">
            <v>45</v>
          </cell>
          <cell r="C218">
            <v>2059</v>
          </cell>
          <cell r="D218" t="str">
            <v>195/65 R15</v>
          </cell>
          <cell r="E218">
            <v>91</v>
          </cell>
          <cell r="F218" t="str">
            <v>T</v>
          </cell>
          <cell r="G218" t="str">
            <v>TS830P</v>
          </cell>
          <cell r="H218">
            <v>353125</v>
          </cell>
          <cell r="I218">
            <v>52093</v>
          </cell>
          <cell r="J218">
            <v>0</v>
          </cell>
          <cell r="K218" t="str">
            <v>R</v>
          </cell>
          <cell r="L218" t="str">
            <v>WAGGG</v>
          </cell>
          <cell r="M218" t="str">
            <v>W</v>
          </cell>
          <cell r="N218" t="str">
            <v>A</v>
          </cell>
          <cell r="O218" t="str">
            <v>G</v>
          </cell>
          <cell r="P218" t="str">
            <v>G</v>
          </cell>
          <cell r="Q218" t="str">
            <v>G</v>
          </cell>
          <cell r="R218" t="str">
            <v>-</v>
          </cell>
        </row>
        <row r="219">
          <cell r="A219">
            <v>353169</v>
          </cell>
          <cell r="B219">
            <v>155</v>
          </cell>
          <cell r="C219">
            <v>2083</v>
          </cell>
          <cell r="D219" t="str">
            <v>195/50 R16</v>
          </cell>
          <cell r="E219">
            <v>88</v>
          </cell>
          <cell r="F219" t="str">
            <v>H</v>
          </cell>
          <cell r="G219" t="str">
            <v>TS830P XL</v>
          </cell>
          <cell r="H219">
            <v>353169</v>
          </cell>
          <cell r="I219">
            <v>52055</v>
          </cell>
          <cell r="J219">
            <v>2</v>
          </cell>
          <cell r="K219" t="str">
            <v>P8</v>
          </cell>
          <cell r="L219" t="str">
            <v>WRYYY</v>
          </cell>
          <cell r="M219" t="str">
            <v>W</v>
          </cell>
          <cell r="N219" t="str">
            <v>R</v>
          </cell>
          <cell r="O219" t="str">
            <v>Y</v>
          </cell>
          <cell r="P219" t="str">
            <v>Y</v>
          </cell>
          <cell r="Q219" t="str">
            <v>Y</v>
          </cell>
          <cell r="R219" t="str">
            <v>-</v>
          </cell>
        </row>
        <row r="220">
          <cell r="A220">
            <v>353249</v>
          </cell>
          <cell r="B220">
            <v>390</v>
          </cell>
          <cell r="C220">
            <v>2064</v>
          </cell>
          <cell r="D220" t="str">
            <v>175/55 R15</v>
          </cell>
          <cell r="E220">
            <v>77</v>
          </cell>
          <cell r="F220" t="str">
            <v>T</v>
          </cell>
          <cell r="G220" t="str">
            <v>TS800</v>
          </cell>
          <cell r="H220">
            <v>353249</v>
          </cell>
          <cell r="I220">
            <v>52591</v>
          </cell>
          <cell r="J220">
            <v>0</v>
          </cell>
          <cell r="K220" t="str">
            <v>P4</v>
          </cell>
          <cell r="L220" t="str">
            <v>OYWG</v>
          </cell>
          <cell r="M220" t="str">
            <v>O</v>
          </cell>
          <cell r="N220" t="str">
            <v>Y</v>
          </cell>
          <cell r="O220" t="str">
            <v>W</v>
          </cell>
          <cell r="P220" t="str">
            <v>G</v>
          </cell>
          <cell r="Q220" t="str">
            <v/>
          </cell>
          <cell r="R220" t="str">
            <v>-</v>
          </cell>
        </row>
        <row r="221">
          <cell r="A221">
            <v>353252</v>
          </cell>
          <cell r="B221" t="str">
            <v>-</v>
          </cell>
          <cell r="C221">
            <v>3017</v>
          </cell>
          <cell r="D221" t="str">
            <v>155/60 R15</v>
          </cell>
          <cell r="E221">
            <v>74</v>
          </cell>
          <cell r="F221" t="str">
            <v>T</v>
          </cell>
          <cell r="G221" t="str">
            <v>TS800</v>
          </cell>
          <cell r="H221">
            <v>353252</v>
          </cell>
          <cell r="I221">
            <v>52590</v>
          </cell>
          <cell r="J221">
            <v>0</v>
          </cell>
          <cell r="K221" t="str">
            <v>P8</v>
          </cell>
          <cell r="L221" t="str">
            <v>AAO</v>
          </cell>
          <cell r="M221" t="str">
            <v>A</v>
          </cell>
          <cell r="N221" t="str">
            <v>A</v>
          </cell>
          <cell r="O221" t="str">
            <v>O</v>
          </cell>
          <cell r="P221" t="str">
            <v/>
          </cell>
          <cell r="Q221" t="str">
            <v/>
          </cell>
          <cell r="R221" t="str">
            <v>-</v>
          </cell>
        </row>
        <row r="222">
          <cell r="A222">
            <v>353990</v>
          </cell>
          <cell r="B222">
            <v>339</v>
          </cell>
          <cell r="C222">
            <v>3053</v>
          </cell>
          <cell r="D222" t="str">
            <v>175/60 R15</v>
          </cell>
          <cell r="E222">
            <v>81</v>
          </cell>
          <cell r="F222" t="str">
            <v>T</v>
          </cell>
          <cell r="G222" t="str">
            <v>TS860</v>
          </cell>
          <cell r="H222">
            <v>353990</v>
          </cell>
          <cell r="I222">
            <v>52338</v>
          </cell>
          <cell r="J222">
            <v>0</v>
          </cell>
          <cell r="K222" t="str">
            <v>P4</v>
          </cell>
          <cell r="L222" t="str">
            <v>YYWG</v>
          </cell>
          <cell r="M222" t="str">
            <v>Y</v>
          </cell>
          <cell r="N222" t="str">
            <v>Y</v>
          </cell>
          <cell r="O222" t="str">
            <v>W</v>
          </cell>
          <cell r="P222" t="str">
            <v>G</v>
          </cell>
          <cell r="Q222" t="str">
            <v/>
          </cell>
          <cell r="R222" t="str">
            <v>-</v>
          </cell>
        </row>
        <row r="223">
          <cell r="A223">
            <v>354386</v>
          </cell>
          <cell r="B223">
            <v>325</v>
          </cell>
          <cell r="C223">
            <v>2089</v>
          </cell>
          <cell r="D223" t="str">
            <v>235/55 R17</v>
          </cell>
          <cell r="E223">
            <v>99</v>
          </cell>
          <cell r="F223" t="str">
            <v>H</v>
          </cell>
          <cell r="G223" t="str">
            <v>CCC UHP TBM</v>
          </cell>
          <cell r="H223">
            <v>354386</v>
          </cell>
          <cell r="I223">
            <v>52325</v>
          </cell>
          <cell r="J223">
            <v>0</v>
          </cell>
          <cell r="K223" t="str">
            <v>R</v>
          </cell>
          <cell r="L223" t="str">
            <v>GOW</v>
          </cell>
          <cell r="M223" t="str">
            <v>G</v>
          </cell>
          <cell r="N223" t="str">
            <v>O</v>
          </cell>
          <cell r="O223" t="str">
            <v>W</v>
          </cell>
          <cell r="P223" t="str">
            <v/>
          </cell>
          <cell r="Q223" t="str">
            <v/>
          </cell>
          <cell r="R223" t="str">
            <v>-</v>
          </cell>
        </row>
        <row r="224">
          <cell r="A224">
            <v>354852</v>
          </cell>
          <cell r="B224">
            <v>889</v>
          </cell>
          <cell r="C224">
            <v>5055</v>
          </cell>
          <cell r="D224" t="str">
            <v>235/55 R19</v>
          </cell>
          <cell r="E224">
            <v>101</v>
          </cell>
          <cell r="F224" t="str">
            <v>V</v>
          </cell>
          <cell r="G224" t="str">
            <v>CCC LX SPORT AR</v>
          </cell>
          <cell r="H224">
            <v>354852</v>
          </cell>
          <cell r="I224">
            <v>52899</v>
          </cell>
          <cell r="J224">
            <v>11</v>
          </cell>
          <cell r="K224" t="str">
            <v>R2</v>
          </cell>
          <cell r="L224" t="str">
            <v>AARW</v>
          </cell>
          <cell r="M224" t="str">
            <v>A</v>
          </cell>
          <cell r="N224" t="str">
            <v>A</v>
          </cell>
          <cell r="O224" t="str">
            <v>R</v>
          </cell>
          <cell r="P224" t="str">
            <v>W</v>
          </cell>
          <cell r="Q224" t="str">
            <v/>
          </cell>
          <cell r="R224" t="str">
            <v>PR-1HH</v>
          </cell>
        </row>
        <row r="225">
          <cell r="A225">
            <v>354899</v>
          </cell>
          <cell r="B225">
            <v>774</v>
          </cell>
          <cell r="C225">
            <v>3059</v>
          </cell>
          <cell r="D225" t="str">
            <v>235/50 R18</v>
          </cell>
          <cell r="E225">
            <v>101</v>
          </cell>
          <cell r="F225" t="str">
            <v>H</v>
          </cell>
          <cell r="G225" t="str">
            <v>4X4 CONTACT</v>
          </cell>
          <cell r="H225">
            <v>354899</v>
          </cell>
          <cell r="I225">
            <v>52774</v>
          </cell>
          <cell r="J225">
            <v>0</v>
          </cell>
          <cell r="K225" t="str">
            <v>P4</v>
          </cell>
          <cell r="L225" t="str">
            <v>WRGA</v>
          </cell>
          <cell r="M225" t="str">
            <v>W</v>
          </cell>
          <cell r="N225" t="str">
            <v>R</v>
          </cell>
          <cell r="O225" t="str">
            <v>G</v>
          </cell>
          <cell r="P225" t="str">
            <v>A</v>
          </cell>
          <cell r="Q225" t="str">
            <v/>
          </cell>
          <cell r="R225" t="str">
            <v>-</v>
          </cell>
        </row>
        <row r="226">
          <cell r="A226">
            <v>354903</v>
          </cell>
          <cell r="B226">
            <v>150</v>
          </cell>
          <cell r="C226">
            <v>2019</v>
          </cell>
          <cell r="D226" t="str">
            <v>235/60 R17</v>
          </cell>
          <cell r="E226">
            <v>102</v>
          </cell>
          <cell r="F226" t="str">
            <v>V</v>
          </cell>
          <cell r="G226" t="str">
            <v>4X4 CONTACT</v>
          </cell>
          <cell r="H226">
            <v>354903</v>
          </cell>
          <cell r="I226">
            <v>52150</v>
          </cell>
          <cell r="J226">
            <v>0</v>
          </cell>
          <cell r="K226" t="str">
            <v>R</v>
          </cell>
          <cell r="L226" t="str">
            <v>AWR</v>
          </cell>
          <cell r="M226" t="str">
            <v>A</v>
          </cell>
          <cell r="N226" t="str">
            <v>W</v>
          </cell>
          <cell r="O226" t="str">
            <v>R</v>
          </cell>
          <cell r="P226" t="str">
            <v/>
          </cell>
          <cell r="Q226" t="str">
            <v/>
          </cell>
          <cell r="R226" t="str">
            <v>-</v>
          </cell>
        </row>
        <row r="227">
          <cell r="A227">
            <v>354927</v>
          </cell>
          <cell r="B227">
            <v>647</v>
          </cell>
          <cell r="C227">
            <v>3194</v>
          </cell>
          <cell r="D227" t="str">
            <v>235/50 R18</v>
          </cell>
          <cell r="E227">
            <v>97</v>
          </cell>
          <cell r="F227" t="str">
            <v>V</v>
          </cell>
          <cell r="G227" t="str">
            <v>CCC LX SPORT</v>
          </cell>
          <cell r="H227">
            <v>354927</v>
          </cell>
          <cell r="I227">
            <v>52825</v>
          </cell>
          <cell r="J227">
            <v>0</v>
          </cell>
          <cell r="K227" t="str">
            <v>R</v>
          </cell>
          <cell r="L227" t="str">
            <v>YYWYA</v>
          </cell>
          <cell r="M227" t="str">
            <v>Y</v>
          </cell>
          <cell r="N227" t="str">
            <v>Y</v>
          </cell>
          <cell r="O227" t="str">
            <v>W</v>
          </cell>
          <cell r="P227" t="str">
            <v>Y</v>
          </cell>
          <cell r="Q227" t="str">
            <v>A</v>
          </cell>
          <cell r="R227" t="str">
            <v>-</v>
          </cell>
        </row>
        <row r="228">
          <cell r="A228">
            <v>354928</v>
          </cell>
          <cell r="B228" t="str">
            <v>-</v>
          </cell>
          <cell r="C228">
            <v>5052</v>
          </cell>
          <cell r="D228" t="str">
            <v>235/55 R17</v>
          </cell>
          <cell r="E228">
            <v>99</v>
          </cell>
          <cell r="F228" t="str">
            <v>V</v>
          </cell>
          <cell r="G228" t="str">
            <v>CCC LX SPORT</v>
          </cell>
          <cell r="H228">
            <v>354928</v>
          </cell>
          <cell r="I228">
            <v>52652</v>
          </cell>
          <cell r="J228">
            <v>0</v>
          </cell>
          <cell r="K228" t="str">
            <v>P4</v>
          </cell>
          <cell r="L228" t="str">
            <v>GOOOW</v>
          </cell>
          <cell r="M228" t="str">
            <v>G</v>
          </cell>
          <cell r="N228" t="str">
            <v>O</v>
          </cell>
          <cell r="O228" t="str">
            <v>O</v>
          </cell>
          <cell r="P228" t="str">
            <v>O</v>
          </cell>
          <cell r="Q228" t="str">
            <v>W</v>
          </cell>
          <cell r="R228" t="str">
            <v>-</v>
          </cell>
        </row>
        <row r="229">
          <cell r="A229">
            <v>354930</v>
          </cell>
          <cell r="B229" t="str">
            <v>-</v>
          </cell>
          <cell r="C229">
            <v>4095</v>
          </cell>
          <cell r="D229" t="str">
            <v>225/60 R17</v>
          </cell>
          <cell r="E229">
            <v>99</v>
          </cell>
          <cell r="F229" t="str">
            <v>H</v>
          </cell>
          <cell r="G229" t="str">
            <v>CCC LX SPORT</v>
          </cell>
          <cell r="H229">
            <v>354930</v>
          </cell>
          <cell r="I229">
            <v>52935</v>
          </cell>
          <cell r="J229">
            <v>0</v>
          </cell>
          <cell r="K229" t="str">
            <v>P4</v>
          </cell>
          <cell r="L229" t="str">
            <v>WRR</v>
          </cell>
          <cell r="M229" t="str">
            <v>W</v>
          </cell>
          <cell r="N229" t="str">
            <v>R</v>
          </cell>
          <cell r="O229" t="str">
            <v>R</v>
          </cell>
          <cell r="P229" t="str">
            <v/>
          </cell>
          <cell r="Q229" t="str">
            <v/>
          </cell>
          <cell r="R229" t="str">
            <v>-</v>
          </cell>
        </row>
        <row r="230">
          <cell r="A230">
            <v>355007</v>
          </cell>
          <cell r="B230" t="str">
            <v>-</v>
          </cell>
          <cell r="C230">
            <v>5151</v>
          </cell>
          <cell r="D230" t="str">
            <v>185/65 R15</v>
          </cell>
          <cell r="E230">
            <v>88</v>
          </cell>
          <cell r="F230" t="str">
            <v>H</v>
          </cell>
          <cell r="G230" t="str">
            <v>ALLSEASON CONTACT</v>
          </cell>
          <cell r="H230">
            <v>355007</v>
          </cell>
          <cell r="I230">
            <v>52164</v>
          </cell>
          <cell r="J230">
            <v>0</v>
          </cell>
          <cell r="K230" t="str">
            <v>P2</v>
          </cell>
          <cell r="L230" t="str">
            <v>GWWAO</v>
          </cell>
          <cell r="M230" t="str">
            <v>G</v>
          </cell>
          <cell r="N230" t="str">
            <v>W</v>
          </cell>
          <cell r="O230" t="str">
            <v>W</v>
          </cell>
          <cell r="P230" t="str">
            <v>A</v>
          </cell>
          <cell r="Q230" t="str">
            <v>O</v>
          </cell>
          <cell r="R230" t="str">
            <v>-</v>
          </cell>
        </row>
        <row r="231">
          <cell r="A231">
            <v>355009</v>
          </cell>
          <cell r="B231" t="str">
            <v>-</v>
          </cell>
          <cell r="C231">
            <v>5251</v>
          </cell>
          <cell r="D231" t="str">
            <v>185/65 R15</v>
          </cell>
          <cell r="E231">
            <v>92</v>
          </cell>
          <cell r="F231" t="str">
            <v>V</v>
          </cell>
          <cell r="G231" t="str">
            <v>ALLSEASON CONTACT</v>
          </cell>
          <cell r="H231">
            <v>355009</v>
          </cell>
          <cell r="I231">
            <v>52176</v>
          </cell>
          <cell r="J231">
            <v>0</v>
          </cell>
          <cell r="K231" t="str">
            <v>P2</v>
          </cell>
          <cell r="L231" t="str">
            <v>RAYGO</v>
          </cell>
          <cell r="M231" t="str">
            <v>R</v>
          </cell>
          <cell r="N231" t="str">
            <v>A</v>
          </cell>
          <cell r="O231" t="str">
            <v>Y</v>
          </cell>
          <cell r="P231" t="str">
            <v>G</v>
          </cell>
          <cell r="Q231" t="str">
            <v>O</v>
          </cell>
          <cell r="R231" t="str">
            <v>-</v>
          </cell>
        </row>
        <row r="232">
          <cell r="A232">
            <v>355048</v>
          </cell>
          <cell r="B232" t="str">
            <v>-</v>
          </cell>
          <cell r="C232">
            <v>3090</v>
          </cell>
          <cell r="D232" t="str">
            <v>195/55 R16</v>
          </cell>
          <cell r="E232">
            <v>87</v>
          </cell>
          <cell r="F232" t="str">
            <v>H</v>
          </cell>
          <cell r="G232" t="str">
            <v>ALLSEASON CONTACT2</v>
          </cell>
          <cell r="H232">
            <v>355048</v>
          </cell>
          <cell r="I232">
            <v>52038</v>
          </cell>
          <cell r="J232">
            <v>0</v>
          </cell>
          <cell r="K232" t="str">
            <v>P2</v>
          </cell>
          <cell r="L232" t="str">
            <v>AAAYA</v>
          </cell>
          <cell r="M232" t="str">
            <v>A</v>
          </cell>
          <cell r="N232" t="str">
            <v>A</v>
          </cell>
          <cell r="O232" t="str">
            <v>A</v>
          </cell>
          <cell r="P232" t="str">
            <v>Y</v>
          </cell>
          <cell r="Q232" t="str">
            <v>A</v>
          </cell>
          <cell r="R232" t="str">
            <v>-</v>
          </cell>
        </row>
        <row r="233">
          <cell r="A233">
            <v>355049</v>
          </cell>
          <cell r="B233" t="str">
            <v>-</v>
          </cell>
          <cell r="C233">
            <v>3190</v>
          </cell>
          <cell r="D233" t="str">
            <v>195/55 R16</v>
          </cell>
          <cell r="E233">
            <v>91</v>
          </cell>
          <cell r="F233" t="str">
            <v>H</v>
          </cell>
          <cell r="G233" t="str">
            <v>ALLSEASON CONTACT2 XL</v>
          </cell>
          <cell r="H233">
            <v>355049</v>
          </cell>
          <cell r="I233">
            <v>52286</v>
          </cell>
          <cell r="J233">
            <v>0</v>
          </cell>
          <cell r="K233" t="str">
            <v>P2</v>
          </cell>
          <cell r="L233" t="str">
            <v>YYYYY</v>
          </cell>
          <cell r="M233" t="str">
            <v>Y</v>
          </cell>
          <cell r="N233" t="str">
            <v>Y</v>
          </cell>
          <cell r="O233" t="str">
            <v>Y</v>
          </cell>
          <cell r="P233" t="str">
            <v>Y</v>
          </cell>
          <cell r="Q233" t="str">
            <v>Y</v>
          </cell>
          <cell r="R233" t="str">
            <v>-</v>
          </cell>
        </row>
        <row r="234">
          <cell r="A234">
            <v>355073</v>
          </cell>
          <cell r="B234">
            <v>424</v>
          </cell>
          <cell r="C234">
            <v>2149</v>
          </cell>
          <cell r="D234" t="str">
            <v>215/50 R17</v>
          </cell>
          <cell r="E234">
            <v>95</v>
          </cell>
          <cell r="F234" t="str">
            <v>V</v>
          </cell>
          <cell r="G234" t="str">
            <v>ALLSEASON CONTACT XL</v>
          </cell>
          <cell r="H234">
            <v>355073</v>
          </cell>
          <cell r="I234">
            <v>52423</v>
          </cell>
          <cell r="J234">
            <v>0</v>
          </cell>
          <cell r="K234" t="str">
            <v>P4</v>
          </cell>
          <cell r="L234" t="str">
            <v>YYWRY</v>
          </cell>
          <cell r="M234" t="str">
            <v>Y</v>
          </cell>
          <cell r="N234" t="str">
            <v>Y</v>
          </cell>
          <cell r="O234" t="str">
            <v>W</v>
          </cell>
          <cell r="P234" t="str">
            <v>R</v>
          </cell>
          <cell r="Q234" t="str">
            <v>Y</v>
          </cell>
          <cell r="R234" t="str">
            <v>-</v>
          </cell>
        </row>
        <row r="235">
          <cell r="A235">
            <v>355118</v>
          </cell>
          <cell r="B235" t="str">
            <v>-</v>
          </cell>
          <cell r="C235">
            <v>5075</v>
          </cell>
          <cell r="D235" t="str">
            <v>205/50 R16</v>
          </cell>
          <cell r="E235">
            <v>85</v>
          </cell>
          <cell r="F235" t="str">
            <v>H</v>
          </cell>
          <cell r="G235" t="str">
            <v>TS860</v>
          </cell>
          <cell r="H235">
            <v>355118</v>
          </cell>
          <cell r="I235">
            <v>52877</v>
          </cell>
          <cell r="J235">
            <v>0</v>
          </cell>
          <cell r="K235" t="str">
            <v>P4</v>
          </cell>
          <cell r="L235" t="str">
            <v>ARG</v>
          </cell>
          <cell r="M235" t="str">
            <v>A</v>
          </cell>
          <cell r="N235" t="str">
            <v>R</v>
          </cell>
          <cell r="O235" t="str">
            <v>G</v>
          </cell>
          <cell r="P235" t="str">
            <v/>
          </cell>
          <cell r="Q235" t="str">
            <v/>
          </cell>
          <cell r="R235" t="str">
            <v>-</v>
          </cell>
        </row>
        <row r="236">
          <cell r="A236">
            <v>355131</v>
          </cell>
          <cell r="B236" t="str">
            <v>-</v>
          </cell>
          <cell r="C236">
            <v>3290</v>
          </cell>
          <cell r="D236" t="str">
            <v>195/55 R16</v>
          </cell>
          <cell r="E236">
            <v>91</v>
          </cell>
          <cell r="F236" t="str">
            <v>V</v>
          </cell>
          <cell r="G236" t="str">
            <v>ALLSEASON CONTACT2 XL</v>
          </cell>
          <cell r="H236">
            <v>355131</v>
          </cell>
          <cell r="I236">
            <v>52219</v>
          </cell>
          <cell r="J236">
            <v>0</v>
          </cell>
          <cell r="K236" t="str">
            <v>P2</v>
          </cell>
          <cell r="L236" t="str">
            <v>RRRRR</v>
          </cell>
          <cell r="M236" t="str">
            <v>R</v>
          </cell>
          <cell r="N236" t="str">
            <v>R</v>
          </cell>
          <cell r="O236" t="str">
            <v>R</v>
          </cell>
          <cell r="P236" t="str">
            <v>R</v>
          </cell>
          <cell r="Q236" t="str">
            <v>R</v>
          </cell>
          <cell r="R236" t="str">
            <v>-</v>
          </cell>
        </row>
        <row r="237">
          <cell r="A237">
            <v>355157</v>
          </cell>
          <cell r="B237">
            <v>257</v>
          </cell>
          <cell r="C237">
            <v>6027</v>
          </cell>
          <cell r="D237" t="str">
            <v>225/50 R19</v>
          </cell>
          <cell r="E237">
            <v>100</v>
          </cell>
          <cell r="F237" t="str">
            <v>V</v>
          </cell>
          <cell r="G237" t="str">
            <v>TS860 S AUDI XL</v>
          </cell>
          <cell r="H237">
            <v>355157</v>
          </cell>
          <cell r="I237">
            <v>52623</v>
          </cell>
          <cell r="J237">
            <v>2</v>
          </cell>
          <cell r="K237" t="str">
            <v>R</v>
          </cell>
          <cell r="L237" t="str">
            <v>WGYOA</v>
          </cell>
          <cell r="M237" t="str">
            <v>W</v>
          </cell>
          <cell r="N237" t="str">
            <v>G</v>
          </cell>
          <cell r="O237" t="str">
            <v>Y</v>
          </cell>
          <cell r="P237" t="str">
            <v>O</v>
          </cell>
          <cell r="Q237" t="str">
            <v>A</v>
          </cell>
          <cell r="R237" t="str">
            <v>-</v>
          </cell>
        </row>
        <row r="238">
          <cell r="A238">
            <v>355164</v>
          </cell>
          <cell r="B238" t="str">
            <v>-</v>
          </cell>
          <cell r="C238">
            <v>58067</v>
          </cell>
          <cell r="D238" t="str">
            <v>205/45 R17</v>
          </cell>
          <cell r="E238">
            <v>88</v>
          </cell>
          <cell r="F238" t="str">
            <v>V</v>
          </cell>
          <cell r="G238" t="str">
            <v>ALLSEASON XL</v>
          </cell>
          <cell r="H238">
            <v>355164</v>
          </cell>
          <cell r="I238">
            <v>52111</v>
          </cell>
          <cell r="J238">
            <v>0</v>
          </cell>
          <cell r="K238" t="str">
            <v>P2</v>
          </cell>
          <cell r="L238" t="str">
            <v>AAAAG</v>
          </cell>
          <cell r="M238" t="str">
            <v>A</v>
          </cell>
          <cell r="N238" t="str">
            <v>A</v>
          </cell>
          <cell r="O238" t="str">
            <v>A</v>
          </cell>
          <cell r="P238" t="str">
            <v>A</v>
          </cell>
          <cell r="Q238" t="str">
            <v>G</v>
          </cell>
          <cell r="R238" t="str">
            <v>-</v>
          </cell>
        </row>
        <row r="239">
          <cell r="A239">
            <v>355197</v>
          </cell>
          <cell r="B239" t="str">
            <v>-</v>
          </cell>
          <cell r="C239">
            <v>58167</v>
          </cell>
          <cell r="D239" t="str">
            <v>205/45 R17</v>
          </cell>
          <cell r="E239">
            <v>88</v>
          </cell>
          <cell r="F239" t="str">
            <v>W</v>
          </cell>
          <cell r="G239" t="str">
            <v>ALLSEASON CONTACT2 XL</v>
          </cell>
          <cell r="H239">
            <v>355197</v>
          </cell>
          <cell r="I239">
            <v>52462</v>
          </cell>
          <cell r="J239">
            <v>0</v>
          </cell>
          <cell r="K239" t="str">
            <v>P2</v>
          </cell>
          <cell r="L239" t="str">
            <v>RRGRA</v>
          </cell>
          <cell r="M239" t="str">
            <v>R</v>
          </cell>
          <cell r="N239" t="str">
            <v>R</v>
          </cell>
          <cell r="O239" t="str">
            <v>G</v>
          </cell>
          <cell r="P239" t="str">
            <v>R</v>
          </cell>
          <cell r="Q239" t="str">
            <v>A</v>
          </cell>
          <cell r="R239" t="str">
            <v>-</v>
          </cell>
        </row>
        <row r="240">
          <cell r="A240">
            <v>355299</v>
          </cell>
          <cell r="B240" t="str">
            <v>-</v>
          </cell>
          <cell r="C240">
            <v>5208</v>
          </cell>
          <cell r="D240" t="str">
            <v>215/55 R17</v>
          </cell>
          <cell r="E240">
            <v>98</v>
          </cell>
          <cell r="F240" t="str">
            <v>W</v>
          </cell>
          <cell r="G240" t="str">
            <v>ALLSEASON CONTACT2 XL</v>
          </cell>
          <cell r="H240">
            <v>355299</v>
          </cell>
          <cell r="I240">
            <v>52122</v>
          </cell>
          <cell r="J240">
            <v>0</v>
          </cell>
          <cell r="K240" t="str">
            <v>P2</v>
          </cell>
          <cell r="L240" t="str">
            <v>RRYOG</v>
          </cell>
          <cell r="M240" t="str">
            <v>R</v>
          </cell>
          <cell r="N240" t="str">
            <v>R</v>
          </cell>
          <cell r="O240" t="str">
            <v>Y</v>
          </cell>
          <cell r="P240" t="str">
            <v>O</v>
          </cell>
          <cell r="Q240" t="str">
            <v>G</v>
          </cell>
          <cell r="R240" t="str">
            <v>-</v>
          </cell>
        </row>
        <row r="241">
          <cell r="A241">
            <v>355302</v>
          </cell>
          <cell r="B241" t="str">
            <v>-</v>
          </cell>
          <cell r="C241">
            <v>5308</v>
          </cell>
          <cell r="D241" t="str">
            <v>215/55 R17</v>
          </cell>
          <cell r="E241">
            <v>94</v>
          </cell>
          <cell r="F241" t="str">
            <v>V</v>
          </cell>
          <cell r="G241" t="str">
            <v>ALLSEASON 2</v>
          </cell>
          <cell r="H241">
            <v>355302</v>
          </cell>
          <cell r="I241">
            <v>52321</v>
          </cell>
          <cell r="J241">
            <v>0</v>
          </cell>
          <cell r="K241" t="str">
            <v>P2</v>
          </cell>
          <cell r="L241" t="str">
            <v>YYRGW</v>
          </cell>
          <cell r="M241" t="str">
            <v>Y</v>
          </cell>
          <cell r="N241" t="str">
            <v>Y</v>
          </cell>
          <cell r="O241" t="str">
            <v>R</v>
          </cell>
          <cell r="P241" t="str">
            <v>G</v>
          </cell>
          <cell r="Q241" t="str">
            <v>W</v>
          </cell>
          <cell r="R241" t="str">
            <v>-</v>
          </cell>
        </row>
        <row r="242">
          <cell r="A242">
            <v>355311</v>
          </cell>
          <cell r="B242">
            <v>976</v>
          </cell>
          <cell r="C242">
            <v>6220</v>
          </cell>
          <cell r="D242" t="str">
            <v>225/55 R18</v>
          </cell>
          <cell r="E242">
            <v>102</v>
          </cell>
          <cell r="F242" t="str">
            <v>V</v>
          </cell>
          <cell r="G242" t="str">
            <v>ALLSEASON CONTACT XL</v>
          </cell>
          <cell r="H242">
            <v>355311</v>
          </cell>
          <cell r="I242">
            <v>52777</v>
          </cell>
          <cell r="J242">
            <v>2</v>
          </cell>
          <cell r="K242" t="str">
            <v>P4</v>
          </cell>
          <cell r="L242" t="str">
            <v>WOYOR</v>
          </cell>
          <cell r="M242" t="str">
            <v>W</v>
          </cell>
          <cell r="N242" t="str">
            <v>O</v>
          </cell>
          <cell r="O242" t="str">
            <v>Y</v>
          </cell>
          <cell r="P242" t="str">
            <v>O</v>
          </cell>
          <cell r="Q242" t="str">
            <v>R</v>
          </cell>
          <cell r="R242" t="str">
            <v>-</v>
          </cell>
        </row>
        <row r="243">
          <cell r="A243">
            <v>355361</v>
          </cell>
          <cell r="B243" t="str">
            <v>-</v>
          </cell>
          <cell r="C243">
            <v>58039</v>
          </cell>
          <cell r="D243" t="str">
            <v>245/40 R17</v>
          </cell>
          <cell r="E243">
            <v>95</v>
          </cell>
          <cell r="F243" t="str">
            <v>V</v>
          </cell>
          <cell r="G243" t="str">
            <v>TS850P XL</v>
          </cell>
          <cell r="H243">
            <v>355361</v>
          </cell>
          <cell r="I243">
            <v>52311</v>
          </cell>
          <cell r="J243">
            <v>0</v>
          </cell>
          <cell r="K243" t="str">
            <v>P4</v>
          </cell>
          <cell r="L243" t="str">
            <v>AAAGG</v>
          </cell>
          <cell r="M243" t="str">
            <v>A</v>
          </cell>
          <cell r="N243" t="str">
            <v>A</v>
          </cell>
          <cell r="O243" t="str">
            <v>A</v>
          </cell>
          <cell r="P243" t="str">
            <v>G</v>
          </cell>
          <cell r="Q243" t="str">
            <v>G</v>
          </cell>
          <cell r="R243" t="str">
            <v>-</v>
          </cell>
        </row>
        <row r="244">
          <cell r="A244">
            <v>355392</v>
          </cell>
          <cell r="B244" t="str">
            <v>-</v>
          </cell>
          <cell r="C244">
            <v>4013</v>
          </cell>
          <cell r="D244" t="str">
            <v>205/50 R17</v>
          </cell>
          <cell r="E244">
            <v>89</v>
          </cell>
          <cell r="F244" t="str">
            <v>H</v>
          </cell>
          <cell r="G244" t="str">
            <v>ALLSEASON</v>
          </cell>
          <cell r="H244">
            <v>355392</v>
          </cell>
          <cell r="I244">
            <v>52125</v>
          </cell>
          <cell r="J244">
            <v>0</v>
          </cell>
          <cell r="K244" t="str">
            <v>P4</v>
          </cell>
          <cell r="L244" t="str">
            <v>RAAAA</v>
          </cell>
          <cell r="M244" t="str">
            <v>R</v>
          </cell>
          <cell r="N244" t="str">
            <v>A</v>
          </cell>
          <cell r="O244" t="str">
            <v>A</v>
          </cell>
          <cell r="P244" t="str">
            <v>A</v>
          </cell>
          <cell r="Q244" t="str">
            <v>A</v>
          </cell>
          <cell r="R244" t="str">
            <v>-</v>
          </cell>
        </row>
        <row r="245">
          <cell r="A245">
            <v>355400</v>
          </cell>
          <cell r="B245" t="str">
            <v>-</v>
          </cell>
          <cell r="C245">
            <v>6180</v>
          </cell>
          <cell r="D245" t="str">
            <v>225/55 R18</v>
          </cell>
          <cell r="E245">
            <v>102</v>
          </cell>
          <cell r="F245" t="str">
            <v>V</v>
          </cell>
          <cell r="G245" t="str">
            <v>ALLSEASON CONTACT2 XL</v>
          </cell>
          <cell r="H245">
            <v>355400</v>
          </cell>
          <cell r="I245">
            <v>52615</v>
          </cell>
          <cell r="J245">
            <v>0</v>
          </cell>
          <cell r="K245" t="str">
            <v>P2</v>
          </cell>
          <cell r="L245" t="str">
            <v>AAWGY</v>
          </cell>
          <cell r="M245" t="str">
            <v>A</v>
          </cell>
          <cell r="N245" t="str">
            <v>A</v>
          </cell>
          <cell r="O245" t="str">
            <v>W</v>
          </cell>
          <cell r="P245" t="str">
            <v>G</v>
          </cell>
          <cell r="Q245" t="str">
            <v>Y</v>
          </cell>
          <cell r="R245" t="str">
            <v>-</v>
          </cell>
        </row>
        <row r="246">
          <cell r="A246">
            <v>355418</v>
          </cell>
          <cell r="B246" t="str">
            <v>-</v>
          </cell>
          <cell r="C246">
            <v>4094</v>
          </cell>
          <cell r="D246" t="str">
            <v>235/60 R18</v>
          </cell>
          <cell r="E246">
            <v>107</v>
          </cell>
          <cell r="F246" t="str">
            <v>W</v>
          </cell>
          <cell r="G246" t="str">
            <v>ALLSEASON ASC2 XL</v>
          </cell>
          <cell r="H246">
            <v>355418</v>
          </cell>
          <cell r="I246">
            <v>52299</v>
          </cell>
          <cell r="J246">
            <v>0</v>
          </cell>
          <cell r="K246" t="str">
            <v>P0</v>
          </cell>
          <cell r="L246" t="str">
            <v>RRRWA</v>
          </cell>
          <cell r="M246" t="str">
            <v>R</v>
          </cell>
          <cell r="N246" t="str">
            <v>R</v>
          </cell>
          <cell r="O246" t="str">
            <v>R</v>
          </cell>
          <cell r="P246" t="str">
            <v>W</v>
          </cell>
          <cell r="Q246" t="str">
            <v>A</v>
          </cell>
          <cell r="R246" t="str">
            <v>-</v>
          </cell>
        </row>
        <row r="247">
          <cell r="A247">
            <v>355453</v>
          </cell>
          <cell r="B247">
            <v>751</v>
          </cell>
          <cell r="C247">
            <v>6022</v>
          </cell>
          <cell r="D247" t="str">
            <v>165/65 R15</v>
          </cell>
          <cell r="E247">
            <v>81</v>
          </cell>
          <cell r="F247" t="str">
            <v>T</v>
          </cell>
          <cell r="G247" t="str">
            <v>ALLSEASON</v>
          </cell>
          <cell r="H247">
            <v>355453</v>
          </cell>
          <cell r="I247">
            <v>52651</v>
          </cell>
          <cell r="J247">
            <v>0</v>
          </cell>
          <cell r="K247" t="str">
            <v>P8</v>
          </cell>
          <cell r="L247" t="str">
            <v>YYAO</v>
          </cell>
          <cell r="M247" t="str">
            <v>Y</v>
          </cell>
          <cell r="N247" t="str">
            <v>Y</v>
          </cell>
          <cell r="O247" t="str">
            <v>A</v>
          </cell>
          <cell r="P247" t="str">
            <v>O</v>
          </cell>
          <cell r="Q247" t="str">
            <v/>
          </cell>
          <cell r="R247" t="str">
            <v>-</v>
          </cell>
        </row>
        <row r="248">
          <cell r="A248">
            <v>355456</v>
          </cell>
          <cell r="B248">
            <v>374</v>
          </cell>
          <cell r="C248">
            <v>6046</v>
          </cell>
          <cell r="D248" t="str">
            <v>185/60 R15</v>
          </cell>
          <cell r="E248">
            <v>84</v>
          </cell>
          <cell r="F248" t="str">
            <v>T</v>
          </cell>
          <cell r="G248" t="str">
            <v>TS870</v>
          </cell>
          <cell r="H248">
            <v>355456</v>
          </cell>
          <cell r="I248">
            <v>52376</v>
          </cell>
          <cell r="J248">
            <v>0</v>
          </cell>
          <cell r="K248" t="str">
            <v>P4</v>
          </cell>
          <cell r="L248" t="str">
            <v>GROA</v>
          </cell>
          <cell r="M248" t="str">
            <v>G</v>
          </cell>
          <cell r="N248" t="str">
            <v>R</v>
          </cell>
          <cell r="O248" t="str">
            <v>O</v>
          </cell>
          <cell r="P248" t="str">
            <v>A</v>
          </cell>
          <cell r="Q248" t="str">
            <v/>
          </cell>
          <cell r="R248" t="str">
            <v>-</v>
          </cell>
        </row>
        <row r="249">
          <cell r="A249">
            <v>355457</v>
          </cell>
          <cell r="B249">
            <v>802</v>
          </cell>
          <cell r="C249">
            <v>6146</v>
          </cell>
          <cell r="D249" t="str">
            <v>185/60 R15</v>
          </cell>
          <cell r="E249">
            <v>88</v>
          </cell>
          <cell r="F249" t="str">
            <v>T</v>
          </cell>
          <cell r="G249" t="str">
            <v>TS870 XL</v>
          </cell>
          <cell r="H249">
            <v>355457</v>
          </cell>
          <cell r="I249">
            <v>52804</v>
          </cell>
          <cell r="J249">
            <v>0</v>
          </cell>
          <cell r="K249" t="str">
            <v>P4</v>
          </cell>
          <cell r="L249" t="str">
            <v>AROO</v>
          </cell>
          <cell r="M249" t="str">
            <v>A</v>
          </cell>
          <cell r="N249" t="str">
            <v>R</v>
          </cell>
          <cell r="O249" t="str">
            <v>O</v>
          </cell>
          <cell r="P249" t="str">
            <v>O</v>
          </cell>
          <cell r="Q249" t="str">
            <v/>
          </cell>
          <cell r="R249" t="str">
            <v>-</v>
          </cell>
        </row>
        <row r="250">
          <cell r="A250">
            <v>355458</v>
          </cell>
          <cell r="B250">
            <v>490</v>
          </cell>
          <cell r="C250">
            <v>93</v>
          </cell>
          <cell r="D250" t="str">
            <v>185/65 R15</v>
          </cell>
          <cell r="E250">
            <v>88</v>
          </cell>
          <cell r="F250" t="str">
            <v>T</v>
          </cell>
          <cell r="G250" t="str">
            <v>TS870</v>
          </cell>
          <cell r="H250">
            <v>355458</v>
          </cell>
          <cell r="I250">
            <v>52491</v>
          </cell>
          <cell r="J250">
            <v>0</v>
          </cell>
          <cell r="K250" t="str">
            <v>P4</v>
          </cell>
          <cell r="L250" t="str">
            <v>OGGR</v>
          </cell>
          <cell r="M250" t="str">
            <v>O</v>
          </cell>
          <cell r="N250" t="str">
            <v>G</v>
          </cell>
          <cell r="O250" t="str">
            <v>G</v>
          </cell>
          <cell r="P250" t="str">
            <v>R</v>
          </cell>
          <cell r="Q250" t="str">
            <v/>
          </cell>
          <cell r="R250" t="str">
            <v>-</v>
          </cell>
        </row>
        <row r="251">
          <cell r="A251">
            <v>355460</v>
          </cell>
          <cell r="B251">
            <v>228</v>
          </cell>
          <cell r="C251">
            <v>2080</v>
          </cell>
          <cell r="D251" t="str">
            <v>195/65 R15</v>
          </cell>
          <cell r="E251">
            <v>91</v>
          </cell>
          <cell r="F251" t="str">
            <v>T</v>
          </cell>
          <cell r="G251" t="str">
            <v>TS870</v>
          </cell>
          <cell r="H251">
            <v>355460</v>
          </cell>
          <cell r="I251">
            <v>52610</v>
          </cell>
          <cell r="J251">
            <v>0</v>
          </cell>
          <cell r="K251" t="str">
            <v>P4</v>
          </cell>
          <cell r="L251" t="str">
            <v>RRRA</v>
          </cell>
          <cell r="M251" t="str">
            <v>R</v>
          </cell>
          <cell r="N251" t="str">
            <v>R</v>
          </cell>
          <cell r="O251" t="str">
            <v>R</v>
          </cell>
          <cell r="P251" t="str">
            <v>A</v>
          </cell>
          <cell r="Q251" t="str">
            <v/>
          </cell>
          <cell r="R251" t="str">
            <v>-</v>
          </cell>
        </row>
        <row r="252">
          <cell r="A252">
            <v>355461</v>
          </cell>
          <cell r="B252">
            <v>865</v>
          </cell>
          <cell r="C252">
            <v>2180</v>
          </cell>
          <cell r="D252" t="str">
            <v>195/65 R15</v>
          </cell>
          <cell r="E252">
            <v>91</v>
          </cell>
          <cell r="F252" t="str">
            <v>H</v>
          </cell>
          <cell r="G252" t="str">
            <v>TS870</v>
          </cell>
          <cell r="H252">
            <v>355461</v>
          </cell>
          <cell r="I252">
            <v>52765</v>
          </cell>
          <cell r="J252">
            <v>0</v>
          </cell>
          <cell r="K252" t="str">
            <v>P4</v>
          </cell>
          <cell r="L252" t="str">
            <v>GARR</v>
          </cell>
          <cell r="M252" t="str">
            <v>G</v>
          </cell>
          <cell r="N252" t="str">
            <v>A</v>
          </cell>
          <cell r="O252" t="str">
            <v>R</v>
          </cell>
          <cell r="P252" t="str">
            <v>R</v>
          </cell>
          <cell r="Q252" t="str">
            <v/>
          </cell>
          <cell r="R252" t="str">
            <v>-</v>
          </cell>
        </row>
        <row r="253">
          <cell r="A253">
            <v>355462</v>
          </cell>
          <cell r="B253">
            <v>694</v>
          </cell>
          <cell r="C253">
            <v>2280</v>
          </cell>
          <cell r="D253" t="str">
            <v>195/65 R15</v>
          </cell>
          <cell r="E253">
            <v>95</v>
          </cell>
          <cell r="F253" t="str">
            <v>T</v>
          </cell>
          <cell r="G253" t="str">
            <v>TS870</v>
          </cell>
          <cell r="H253">
            <v>355462</v>
          </cell>
          <cell r="I253">
            <v>52690</v>
          </cell>
          <cell r="J253">
            <v>0</v>
          </cell>
          <cell r="K253" t="str">
            <v>P4</v>
          </cell>
          <cell r="L253" t="str">
            <v>AOOG</v>
          </cell>
          <cell r="M253" t="str">
            <v>A</v>
          </cell>
          <cell r="N253" t="str">
            <v>O</v>
          </cell>
          <cell r="O253" t="str">
            <v>O</v>
          </cell>
          <cell r="P253" t="str">
            <v>G</v>
          </cell>
          <cell r="Q253" t="str">
            <v/>
          </cell>
          <cell r="R253" t="str">
            <v>-</v>
          </cell>
        </row>
        <row r="254">
          <cell r="A254">
            <v>355468</v>
          </cell>
          <cell r="B254">
            <v>791</v>
          </cell>
          <cell r="C254">
            <v>5029</v>
          </cell>
          <cell r="D254" t="str">
            <v>225/45 R17</v>
          </cell>
          <cell r="E254">
            <v>91</v>
          </cell>
          <cell r="F254" t="str">
            <v>H</v>
          </cell>
          <cell r="G254" t="str">
            <v>TS870</v>
          </cell>
          <cell r="H254">
            <v>355468</v>
          </cell>
          <cell r="I254">
            <v>52796</v>
          </cell>
          <cell r="J254">
            <v>0</v>
          </cell>
          <cell r="K254" t="str">
            <v>P4</v>
          </cell>
          <cell r="L254" t="str">
            <v>AGOOO</v>
          </cell>
          <cell r="M254" t="str">
            <v>A</v>
          </cell>
          <cell r="N254" t="str">
            <v>G</v>
          </cell>
          <cell r="O254" t="str">
            <v>O</v>
          </cell>
          <cell r="P254" t="str">
            <v>O</v>
          </cell>
          <cell r="Q254" t="str">
            <v>O</v>
          </cell>
          <cell r="R254" t="str">
            <v>-</v>
          </cell>
        </row>
        <row r="255">
          <cell r="A255">
            <v>355539</v>
          </cell>
          <cell r="B255">
            <v>896</v>
          </cell>
          <cell r="C255">
            <v>5032</v>
          </cell>
          <cell r="D255" t="str">
            <v>195/55 R16</v>
          </cell>
          <cell r="E255">
            <v>87</v>
          </cell>
          <cell r="F255" t="str">
            <v>H</v>
          </cell>
          <cell r="G255" t="str">
            <v>TS870</v>
          </cell>
          <cell r="H255">
            <v>355539</v>
          </cell>
          <cell r="I255">
            <v>52898</v>
          </cell>
          <cell r="J255">
            <v>0</v>
          </cell>
          <cell r="K255" t="str">
            <v>P4</v>
          </cell>
          <cell r="L255" t="str">
            <v>WRYR</v>
          </cell>
          <cell r="M255" t="str">
            <v>W</v>
          </cell>
          <cell r="N255" t="str">
            <v>R</v>
          </cell>
          <cell r="O255" t="str">
            <v>Y</v>
          </cell>
          <cell r="P255" t="str">
            <v>R</v>
          </cell>
          <cell r="Q255" t="str">
            <v/>
          </cell>
          <cell r="R255" t="str">
            <v>-</v>
          </cell>
        </row>
        <row r="256">
          <cell r="A256">
            <v>355546</v>
          </cell>
          <cell r="B256">
            <v>760</v>
          </cell>
          <cell r="C256">
            <v>4011</v>
          </cell>
          <cell r="D256" t="str">
            <v>195/60 R16</v>
          </cell>
          <cell r="E256">
            <v>89</v>
          </cell>
          <cell r="F256" t="str">
            <v>H</v>
          </cell>
          <cell r="G256" t="str">
            <v>TS870</v>
          </cell>
          <cell r="H256">
            <v>355546</v>
          </cell>
          <cell r="I256">
            <v>52757</v>
          </cell>
          <cell r="J256">
            <v>0</v>
          </cell>
          <cell r="K256" t="str">
            <v>P0</v>
          </cell>
          <cell r="L256" t="str">
            <v>RGARA</v>
          </cell>
          <cell r="M256" t="str">
            <v>R</v>
          </cell>
          <cell r="N256" t="str">
            <v>G</v>
          </cell>
          <cell r="O256" t="str">
            <v>A</v>
          </cell>
          <cell r="P256" t="str">
            <v>R</v>
          </cell>
          <cell r="Q256" t="str">
            <v>A</v>
          </cell>
          <cell r="R256" t="str">
            <v>-</v>
          </cell>
        </row>
        <row r="257">
          <cell r="A257">
            <v>355548</v>
          </cell>
          <cell r="B257">
            <v>950</v>
          </cell>
          <cell r="C257">
            <v>2038</v>
          </cell>
          <cell r="D257" t="str">
            <v>165/65 R15</v>
          </cell>
          <cell r="E257">
            <v>81</v>
          </cell>
          <cell r="F257" t="str">
            <v>T</v>
          </cell>
          <cell r="G257" t="str">
            <v>WINTER CONTACT TS870</v>
          </cell>
          <cell r="H257">
            <v>355548</v>
          </cell>
          <cell r="I257">
            <v>52019</v>
          </cell>
          <cell r="J257">
            <v>0</v>
          </cell>
          <cell r="K257" t="str">
            <v>P4</v>
          </cell>
          <cell r="L257" t="str">
            <v>RYRYR</v>
          </cell>
          <cell r="M257" t="str">
            <v>R</v>
          </cell>
          <cell r="N257" t="str">
            <v>Y</v>
          </cell>
          <cell r="O257" t="str">
            <v>R</v>
          </cell>
          <cell r="P257" t="str">
            <v>Y</v>
          </cell>
          <cell r="Q257" t="str">
            <v>R</v>
          </cell>
          <cell r="R257" t="str">
            <v>-</v>
          </cell>
        </row>
        <row r="258">
          <cell r="A258">
            <v>355550</v>
          </cell>
          <cell r="B258">
            <v>315</v>
          </cell>
          <cell r="C258">
            <v>3311</v>
          </cell>
          <cell r="D258" t="str">
            <v>195/50 R15</v>
          </cell>
          <cell r="E258">
            <v>82</v>
          </cell>
          <cell r="F258" t="str">
            <v>T</v>
          </cell>
          <cell r="G258" t="str">
            <v>TS870</v>
          </cell>
          <cell r="H258">
            <v>355550</v>
          </cell>
          <cell r="I258">
            <v>52612</v>
          </cell>
          <cell r="J258">
            <v>0</v>
          </cell>
          <cell r="K258" t="str">
            <v>P4</v>
          </cell>
          <cell r="L258" t="str">
            <v>RAGO</v>
          </cell>
          <cell r="M258" t="str">
            <v>R</v>
          </cell>
          <cell r="N258" t="str">
            <v>A</v>
          </cell>
          <cell r="O258" t="str">
            <v>G</v>
          </cell>
          <cell r="P258" t="str">
            <v>O</v>
          </cell>
          <cell r="Q258" t="str">
            <v/>
          </cell>
          <cell r="R258" t="str">
            <v>-</v>
          </cell>
        </row>
        <row r="259">
          <cell r="A259">
            <v>355623</v>
          </cell>
          <cell r="B259">
            <v>50</v>
          </cell>
          <cell r="C259">
            <v>4008</v>
          </cell>
          <cell r="D259" t="str">
            <v>185/50 R16</v>
          </cell>
          <cell r="E259">
            <v>81</v>
          </cell>
          <cell r="F259" t="str">
            <v>H</v>
          </cell>
          <cell r="G259" t="str">
            <v>TS870</v>
          </cell>
          <cell r="H259">
            <v>355623</v>
          </cell>
          <cell r="I259">
            <v>52250</v>
          </cell>
          <cell r="J259">
            <v>0</v>
          </cell>
          <cell r="K259" t="str">
            <v>P4</v>
          </cell>
          <cell r="L259" t="str">
            <v>ROR</v>
          </cell>
          <cell r="M259" t="str">
            <v>R</v>
          </cell>
          <cell r="N259" t="str">
            <v>O</v>
          </cell>
          <cell r="O259" t="str">
            <v>R</v>
          </cell>
          <cell r="P259" t="str">
            <v/>
          </cell>
          <cell r="Q259" t="str">
            <v/>
          </cell>
          <cell r="R259" t="str">
            <v>-</v>
          </cell>
        </row>
        <row r="260">
          <cell r="A260">
            <v>355625</v>
          </cell>
          <cell r="B260">
            <v>649</v>
          </cell>
          <cell r="C260">
            <v>4006</v>
          </cell>
          <cell r="D260" t="str">
            <v>185/55 R16</v>
          </cell>
          <cell r="E260">
            <v>87</v>
          </cell>
          <cell r="F260" t="str">
            <v>T</v>
          </cell>
          <cell r="G260" t="str">
            <v>TS870 XL</v>
          </cell>
          <cell r="H260">
            <v>355625</v>
          </cell>
          <cell r="I260">
            <v>52349</v>
          </cell>
          <cell r="J260">
            <v>0</v>
          </cell>
          <cell r="K260" t="str">
            <v>P1</v>
          </cell>
          <cell r="L260" t="str">
            <v>GOGO</v>
          </cell>
          <cell r="M260" t="str">
            <v>G</v>
          </cell>
          <cell r="N260" t="str">
            <v>O</v>
          </cell>
          <cell r="O260" t="str">
            <v>G</v>
          </cell>
          <cell r="P260" t="str">
            <v>O</v>
          </cell>
          <cell r="Q260" t="str">
            <v/>
          </cell>
          <cell r="R260" t="str">
            <v>-</v>
          </cell>
        </row>
        <row r="261">
          <cell r="A261">
            <v>355628</v>
          </cell>
          <cell r="B261">
            <v>222</v>
          </cell>
          <cell r="C261">
            <v>3011</v>
          </cell>
          <cell r="D261" t="str">
            <v>195/45 R16</v>
          </cell>
          <cell r="E261">
            <v>84</v>
          </cell>
          <cell r="F261" t="str">
            <v>H</v>
          </cell>
          <cell r="G261" t="str">
            <v>TS870 XL</v>
          </cell>
          <cell r="H261">
            <v>355628</v>
          </cell>
          <cell r="I261">
            <v>52222</v>
          </cell>
          <cell r="J261">
            <v>0</v>
          </cell>
          <cell r="K261" t="str">
            <v>P4</v>
          </cell>
          <cell r="L261" t="str">
            <v>ORG</v>
          </cell>
          <cell r="M261" t="str">
            <v>O</v>
          </cell>
          <cell r="N261" t="str">
            <v>R</v>
          </cell>
          <cell r="O261" t="str">
            <v>G</v>
          </cell>
          <cell r="P261" t="str">
            <v/>
          </cell>
          <cell r="Q261" t="str">
            <v/>
          </cell>
          <cell r="R261" t="str">
            <v>-</v>
          </cell>
        </row>
        <row r="262">
          <cell r="A262">
            <v>355629</v>
          </cell>
          <cell r="B262">
            <v>310</v>
          </cell>
          <cell r="C262">
            <v>5132</v>
          </cell>
          <cell r="D262" t="str">
            <v>195/55 R16</v>
          </cell>
          <cell r="E262">
            <v>91</v>
          </cell>
          <cell r="F262" t="str">
            <v>H</v>
          </cell>
          <cell r="G262" t="str">
            <v>TS870</v>
          </cell>
          <cell r="H262">
            <v>355629</v>
          </cell>
          <cell r="I262">
            <v>52310</v>
          </cell>
          <cell r="J262">
            <v>0</v>
          </cell>
          <cell r="K262" t="str">
            <v>P4</v>
          </cell>
          <cell r="L262" t="str">
            <v>YYGA</v>
          </cell>
          <cell r="M262" t="str">
            <v>Y</v>
          </cell>
          <cell r="N262" t="str">
            <v>Y</v>
          </cell>
          <cell r="O262" t="str">
            <v>G</v>
          </cell>
          <cell r="P262" t="str">
            <v>A</v>
          </cell>
          <cell r="Q262" t="str">
            <v/>
          </cell>
          <cell r="R262" t="str">
            <v>-</v>
          </cell>
        </row>
        <row r="263">
          <cell r="A263">
            <v>355630</v>
          </cell>
          <cell r="B263">
            <v>126</v>
          </cell>
          <cell r="C263">
            <v>2023</v>
          </cell>
          <cell r="D263" t="str">
            <v>205/45 R16</v>
          </cell>
          <cell r="E263">
            <v>87</v>
          </cell>
          <cell r="F263" t="str">
            <v>H</v>
          </cell>
          <cell r="G263" t="str">
            <v>TS870 XL</v>
          </cell>
          <cell r="H263">
            <v>355630</v>
          </cell>
          <cell r="I263">
            <v>52124</v>
          </cell>
          <cell r="J263">
            <v>0</v>
          </cell>
          <cell r="K263" t="str">
            <v>P4</v>
          </cell>
          <cell r="L263" t="str">
            <v>GRO</v>
          </cell>
          <cell r="M263" t="str">
            <v>G</v>
          </cell>
          <cell r="N263" t="str">
            <v>R</v>
          </cell>
          <cell r="O263" t="str">
            <v>O</v>
          </cell>
          <cell r="P263" t="str">
            <v/>
          </cell>
          <cell r="Q263" t="str">
            <v/>
          </cell>
          <cell r="R263" t="str">
            <v>-</v>
          </cell>
        </row>
        <row r="264">
          <cell r="A264">
            <v>355633</v>
          </cell>
          <cell r="B264" t="str">
            <v>-</v>
          </cell>
          <cell r="C264">
            <v>58036</v>
          </cell>
          <cell r="D264" t="str">
            <v>215/40 R17</v>
          </cell>
          <cell r="E264">
            <v>87</v>
          </cell>
          <cell r="F264" t="str">
            <v>V</v>
          </cell>
          <cell r="G264" t="str">
            <v>TS870 XL</v>
          </cell>
          <cell r="H264">
            <v>355633</v>
          </cell>
          <cell r="I264">
            <v>52285</v>
          </cell>
          <cell r="J264">
            <v>0</v>
          </cell>
          <cell r="K264" t="str">
            <v>P4</v>
          </cell>
          <cell r="L264" t="str">
            <v>WOWOO</v>
          </cell>
          <cell r="M264" t="str">
            <v>W</v>
          </cell>
          <cell r="N264" t="str">
            <v>O</v>
          </cell>
          <cell r="O264" t="str">
            <v>W</v>
          </cell>
          <cell r="P264" t="str">
            <v>O</v>
          </cell>
          <cell r="Q264" t="str">
            <v>O</v>
          </cell>
          <cell r="R264" t="str">
            <v>-</v>
          </cell>
        </row>
        <row r="265">
          <cell r="A265">
            <v>355634</v>
          </cell>
          <cell r="B265">
            <v>368</v>
          </cell>
          <cell r="C265">
            <v>5125</v>
          </cell>
          <cell r="D265" t="str">
            <v>215/45 R16</v>
          </cell>
          <cell r="E265">
            <v>90</v>
          </cell>
          <cell r="F265" t="str">
            <v>V</v>
          </cell>
          <cell r="G265" t="str">
            <v>TS870P XL</v>
          </cell>
          <cell r="H265">
            <v>355634</v>
          </cell>
          <cell r="I265">
            <v>52368</v>
          </cell>
          <cell r="J265">
            <v>0</v>
          </cell>
          <cell r="K265" t="str">
            <v>P4</v>
          </cell>
          <cell r="L265" t="str">
            <v>RRGR</v>
          </cell>
          <cell r="M265" t="str">
            <v>R</v>
          </cell>
          <cell r="N265" t="str">
            <v>R</v>
          </cell>
          <cell r="O265" t="str">
            <v>G</v>
          </cell>
          <cell r="P265" t="str">
            <v>R</v>
          </cell>
          <cell r="Q265" t="str">
            <v/>
          </cell>
          <cell r="R265" t="str">
            <v>-</v>
          </cell>
        </row>
        <row r="266">
          <cell r="A266">
            <v>355654</v>
          </cell>
          <cell r="B266">
            <v>12</v>
          </cell>
          <cell r="C266">
            <v>52</v>
          </cell>
          <cell r="D266" t="str">
            <v>205/50 R17</v>
          </cell>
          <cell r="E266">
            <v>93</v>
          </cell>
          <cell r="F266" t="str">
            <v>V</v>
          </cell>
          <cell r="G266" t="str">
            <v>TS870 XL</v>
          </cell>
          <cell r="H266">
            <v>355654</v>
          </cell>
          <cell r="I266">
            <v>52012</v>
          </cell>
          <cell r="J266">
            <v>0</v>
          </cell>
          <cell r="K266" t="str">
            <v>P4</v>
          </cell>
          <cell r="L266" t="str">
            <v>GGG</v>
          </cell>
          <cell r="M266" t="str">
            <v>G</v>
          </cell>
          <cell r="N266" t="str">
            <v>G</v>
          </cell>
          <cell r="O266" t="str">
            <v>G</v>
          </cell>
          <cell r="P266" t="str">
            <v/>
          </cell>
          <cell r="Q266" t="str">
            <v/>
          </cell>
          <cell r="R266" t="str">
            <v>-</v>
          </cell>
        </row>
        <row r="267">
          <cell r="A267">
            <v>355656</v>
          </cell>
          <cell r="B267">
            <v>402</v>
          </cell>
          <cell r="C267">
            <v>51</v>
          </cell>
          <cell r="D267" t="str">
            <v>205/55 R17</v>
          </cell>
          <cell r="E267">
            <v>95</v>
          </cell>
          <cell r="F267" t="str">
            <v>V</v>
          </cell>
          <cell r="G267" t="str">
            <v>TS870 P XL</v>
          </cell>
          <cell r="H267">
            <v>355656</v>
          </cell>
          <cell r="I267">
            <v>52404</v>
          </cell>
          <cell r="J267">
            <v>0</v>
          </cell>
          <cell r="K267" t="str">
            <v>P4</v>
          </cell>
          <cell r="L267" t="str">
            <v>AR</v>
          </cell>
          <cell r="M267" t="str">
            <v>A</v>
          </cell>
          <cell r="N267" t="str">
            <v>R</v>
          </cell>
          <cell r="O267" t="str">
            <v/>
          </cell>
          <cell r="P267" t="str">
            <v/>
          </cell>
          <cell r="Q267" t="str">
            <v/>
          </cell>
          <cell r="R267" t="str">
            <v>-</v>
          </cell>
        </row>
        <row r="268">
          <cell r="A268">
            <v>355657</v>
          </cell>
          <cell r="B268">
            <v>369</v>
          </cell>
          <cell r="C268">
            <v>151</v>
          </cell>
          <cell r="D268" t="str">
            <v>205/55 R17</v>
          </cell>
          <cell r="E268">
            <v>91</v>
          </cell>
          <cell r="F268" t="str">
            <v>H</v>
          </cell>
          <cell r="G268" t="str">
            <v>TS870 P</v>
          </cell>
          <cell r="H268">
            <v>355657</v>
          </cell>
          <cell r="I268">
            <v>52399</v>
          </cell>
          <cell r="J268">
            <v>0</v>
          </cell>
          <cell r="K268" t="str">
            <v>P4</v>
          </cell>
          <cell r="L268" t="str">
            <v>RRR</v>
          </cell>
          <cell r="M268" t="str">
            <v>R</v>
          </cell>
          <cell r="N268" t="str">
            <v>R</v>
          </cell>
          <cell r="O268" t="str">
            <v>R</v>
          </cell>
          <cell r="P268" t="str">
            <v/>
          </cell>
          <cell r="Q268" t="str">
            <v/>
          </cell>
          <cell r="R268" t="str">
            <v>-</v>
          </cell>
        </row>
        <row r="269">
          <cell r="A269">
            <v>355659</v>
          </cell>
          <cell r="B269">
            <v>833</v>
          </cell>
          <cell r="C269">
            <v>4012</v>
          </cell>
          <cell r="D269" t="str">
            <v>215/55 R17</v>
          </cell>
          <cell r="E269">
            <v>98</v>
          </cell>
          <cell r="F269" t="str">
            <v>V</v>
          </cell>
          <cell r="G269" t="str">
            <v>TS870P XL</v>
          </cell>
          <cell r="H269">
            <v>355659</v>
          </cell>
          <cell r="I269">
            <v>52838</v>
          </cell>
          <cell r="J269">
            <v>0</v>
          </cell>
          <cell r="K269" t="str">
            <v>P4</v>
          </cell>
          <cell r="L269" t="str">
            <v>AAOOG</v>
          </cell>
          <cell r="M269" t="str">
            <v>A</v>
          </cell>
          <cell r="N269" t="str">
            <v>A</v>
          </cell>
          <cell r="O269" t="str">
            <v>O</v>
          </cell>
          <cell r="P269" t="str">
            <v>O</v>
          </cell>
          <cell r="Q269" t="str">
            <v>G</v>
          </cell>
          <cell r="R269" t="str">
            <v>-</v>
          </cell>
        </row>
        <row r="270">
          <cell r="A270">
            <v>355662</v>
          </cell>
          <cell r="B270">
            <v>863</v>
          </cell>
          <cell r="C270">
            <v>4112</v>
          </cell>
          <cell r="D270" t="str">
            <v>215/55 R17</v>
          </cell>
          <cell r="E270">
            <v>98</v>
          </cell>
          <cell r="F270" t="str">
            <v>H</v>
          </cell>
          <cell r="G270" t="str">
            <v>TS870P XL</v>
          </cell>
          <cell r="H270">
            <v>355662</v>
          </cell>
          <cell r="I270">
            <v>52853</v>
          </cell>
          <cell r="J270">
            <v>0</v>
          </cell>
          <cell r="K270" t="str">
            <v>P4</v>
          </cell>
          <cell r="L270" t="str">
            <v>GGGGR</v>
          </cell>
          <cell r="M270" t="str">
            <v>G</v>
          </cell>
          <cell r="N270" t="str">
            <v>G</v>
          </cell>
          <cell r="O270" t="str">
            <v>G</v>
          </cell>
          <cell r="P270" t="str">
            <v>G</v>
          </cell>
          <cell r="Q270" t="str">
            <v>R</v>
          </cell>
          <cell r="R270" t="str">
            <v>-</v>
          </cell>
        </row>
        <row r="271">
          <cell r="A271">
            <v>355668</v>
          </cell>
          <cell r="B271">
            <v>445</v>
          </cell>
          <cell r="C271">
            <v>3134</v>
          </cell>
          <cell r="D271" t="str">
            <v>215/65 R17</v>
          </cell>
          <cell r="E271">
            <v>99</v>
          </cell>
          <cell r="F271" t="str">
            <v>H</v>
          </cell>
          <cell r="G271" t="str">
            <v>TS870P</v>
          </cell>
          <cell r="H271">
            <v>355668</v>
          </cell>
          <cell r="I271">
            <v>52414</v>
          </cell>
          <cell r="J271">
            <v>0</v>
          </cell>
          <cell r="K271" t="str">
            <v>P4</v>
          </cell>
          <cell r="L271" t="str">
            <v>ORAOR</v>
          </cell>
          <cell r="M271" t="str">
            <v>O</v>
          </cell>
          <cell r="N271" t="str">
            <v>R</v>
          </cell>
          <cell r="O271" t="str">
            <v>A</v>
          </cell>
          <cell r="P271" t="str">
            <v>O</v>
          </cell>
          <cell r="Q271" t="str">
            <v>R</v>
          </cell>
          <cell r="R271" t="str">
            <v>-</v>
          </cell>
        </row>
        <row r="272">
          <cell r="A272">
            <v>355670</v>
          </cell>
          <cell r="B272">
            <v>18</v>
          </cell>
          <cell r="C272">
            <v>3234</v>
          </cell>
          <cell r="D272" t="str">
            <v>215/65 R17</v>
          </cell>
          <cell r="E272">
            <v>99</v>
          </cell>
          <cell r="F272" t="str">
            <v>T</v>
          </cell>
          <cell r="G272" t="str">
            <v>TS870P</v>
          </cell>
          <cell r="H272">
            <v>355670</v>
          </cell>
          <cell r="I272">
            <v>52168</v>
          </cell>
          <cell r="J272">
            <v>0</v>
          </cell>
          <cell r="K272" t="str">
            <v>P4</v>
          </cell>
          <cell r="L272" t="str">
            <v>AARRR</v>
          </cell>
          <cell r="M272" t="str">
            <v>A</v>
          </cell>
          <cell r="N272" t="str">
            <v>A</v>
          </cell>
          <cell r="O272" t="str">
            <v>R</v>
          </cell>
          <cell r="P272" t="str">
            <v>R</v>
          </cell>
          <cell r="Q272" t="str">
            <v>R</v>
          </cell>
          <cell r="R272" t="str">
            <v>-</v>
          </cell>
        </row>
        <row r="273">
          <cell r="A273">
            <v>355671</v>
          </cell>
          <cell r="B273">
            <v>419</v>
          </cell>
          <cell r="C273">
            <v>3034</v>
          </cell>
          <cell r="D273" t="str">
            <v>215/65 R17</v>
          </cell>
          <cell r="E273">
            <v>99</v>
          </cell>
          <cell r="F273" t="str">
            <v>V</v>
          </cell>
          <cell r="G273" t="str">
            <v>TS870P</v>
          </cell>
          <cell r="H273">
            <v>355671</v>
          </cell>
          <cell r="I273">
            <v>52449</v>
          </cell>
          <cell r="J273">
            <v>0</v>
          </cell>
          <cell r="K273" t="str">
            <v>P4</v>
          </cell>
          <cell r="L273" t="str">
            <v>AAOGG</v>
          </cell>
          <cell r="M273" t="str">
            <v>A</v>
          </cell>
          <cell r="N273" t="str">
            <v>A</v>
          </cell>
          <cell r="O273" t="str">
            <v>O</v>
          </cell>
          <cell r="P273" t="str">
            <v>G</v>
          </cell>
          <cell r="Q273" t="str">
            <v>G</v>
          </cell>
          <cell r="R273" t="str">
            <v>-</v>
          </cell>
        </row>
        <row r="274">
          <cell r="A274">
            <v>355672</v>
          </cell>
          <cell r="B274" t="str">
            <v>-</v>
          </cell>
          <cell r="C274">
            <v>58064</v>
          </cell>
          <cell r="D274" t="str">
            <v>225/40 R18</v>
          </cell>
          <cell r="E274">
            <v>92</v>
          </cell>
          <cell r="F274" t="str">
            <v>V</v>
          </cell>
          <cell r="G274" t="str">
            <v>TS870P XL</v>
          </cell>
          <cell r="H274">
            <v>355672</v>
          </cell>
          <cell r="I274">
            <v>52860</v>
          </cell>
          <cell r="J274">
            <v>0</v>
          </cell>
          <cell r="K274" t="str">
            <v>P3</v>
          </cell>
          <cell r="L274" t="str">
            <v>AGYG</v>
          </cell>
          <cell r="M274" t="str">
            <v>A</v>
          </cell>
          <cell r="N274" t="str">
            <v>G</v>
          </cell>
          <cell r="O274" t="str">
            <v>Y</v>
          </cell>
          <cell r="P274" t="str">
            <v>G</v>
          </cell>
          <cell r="Q274" t="str">
            <v/>
          </cell>
          <cell r="R274" t="str">
            <v>-</v>
          </cell>
        </row>
        <row r="275">
          <cell r="A275">
            <v>355673</v>
          </cell>
          <cell r="B275">
            <v>947</v>
          </cell>
          <cell r="C275">
            <v>6084</v>
          </cell>
          <cell r="D275" t="str">
            <v>225/45 R18</v>
          </cell>
          <cell r="E275">
            <v>95</v>
          </cell>
          <cell r="F275" t="str">
            <v>V</v>
          </cell>
          <cell r="G275" t="str">
            <v>TS870 P XL</v>
          </cell>
          <cell r="H275">
            <v>355673</v>
          </cell>
          <cell r="I275">
            <v>52747</v>
          </cell>
          <cell r="J275">
            <v>0</v>
          </cell>
          <cell r="K275" t="str">
            <v>P4</v>
          </cell>
          <cell r="L275" t="str">
            <v>AAOOA</v>
          </cell>
          <cell r="M275" t="str">
            <v>A</v>
          </cell>
          <cell r="N275" t="str">
            <v>A</v>
          </cell>
          <cell r="O275" t="str">
            <v>O</v>
          </cell>
          <cell r="P275" t="str">
            <v>O</v>
          </cell>
          <cell r="Q275" t="str">
            <v>A</v>
          </cell>
          <cell r="R275" t="str">
            <v>-</v>
          </cell>
        </row>
        <row r="276">
          <cell r="A276">
            <v>355676</v>
          </cell>
          <cell r="B276">
            <v>733</v>
          </cell>
          <cell r="C276">
            <v>5025</v>
          </cell>
          <cell r="D276" t="str">
            <v>225/55 R18</v>
          </cell>
          <cell r="E276">
            <v>102</v>
          </cell>
          <cell r="F276" t="str">
            <v>V</v>
          </cell>
          <cell r="G276" t="str">
            <v>TS870 P XL</v>
          </cell>
          <cell r="H276">
            <v>355676</v>
          </cell>
          <cell r="I276">
            <v>52733</v>
          </cell>
          <cell r="J276">
            <v>0</v>
          </cell>
          <cell r="K276" t="str">
            <v>P4</v>
          </cell>
          <cell r="L276" t="str">
            <v>GGORR</v>
          </cell>
          <cell r="M276" t="str">
            <v>G</v>
          </cell>
          <cell r="N276" t="str">
            <v>G</v>
          </cell>
          <cell r="O276" t="str">
            <v>O</v>
          </cell>
          <cell r="P276" t="str">
            <v>R</v>
          </cell>
          <cell r="Q276" t="str">
            <v>R</v>
          </cell>
          <cell r="R276" t="str">
            <v>-</v>
          </cell>
        </row>
        <row r="277">
          <cell r="A277">
            <v>355686</v>
          </cell>
          <cell r="B277">
            <v>143</v>
          </cell>
          <cell r="C277">
            <v>5229</v>
          </cell>
          <cell r="D277" t="str">
            <v>235/60 R18</v>
          </cell>
          <cell r="E277">
            <v>107</v>
          </cell>
          <cell r="F277" t="str">
            <v>H</v>
          </cell>
          <cell r="G277" t="str">
            <v>TS870 XL</v>
          </cell>
          <cell r="H277">
            <v>355686</v>
          </cell>
          <cell r="I277">
            <v>52153</v>
          </cell>
          <cell r="J277">
            <v>0</v>
          </cell>
          <cell r="K277" t="str">
            <v>P7</v>
          </cell>
          <cell r="L277" t="str">
            <v>ARWG</v>
          </cell>
          <cell r="M277" t="str">
            <v>A</v>
          </cell>
          <cell r="N277" t="str">
            <v>R</v>
          </cell>
          <cell r="O277" t="str">
            <v>W</v>
          </cell>
          <cell r="P277" t="str">
            <v>G</v>
          </cell>
          <cell r="Q277" t="str">
            <v/>
          </cell>
          <cell r="R277" t="str">
            <v>-</v>
          </cell>
        </row>
        <row r="278">
          <cell r="A278">
            <v>355687</v>
          </cell>
          <cell r="B278">
            <v>354</v>
          </cell>
          <cell r="C278">
            <v>5329</v>
          </cell>
          <cell r="D278" t="str">
            <v>235/60 R18</v>
          </cell>
          <cell r="E278">
            <v>107</v>
          </cell>
          <cell r="F278" t="str">
            <v>V</v>
          </cell>
          <cell r="G278" t="str">
            <v>TS870 XL</v>
          </cell>
          <cell r="H278">
            <v>355687</v>
          </cell>
          <cell r="I278">
            <v>52154</v>
          </cell>
          <cell r="J278">
            <v>0</v>
          </cell>
          <cell r="K278" t="str">
            <v>P7</v>
          </cell>
          <cell r="L278" t="str">
            <v>ARWA</v>
          </cell>
          <cell r="M278" t="str">
            <v>A</v>
          </cell>
          <cell r="N278" t="str">
            <v>R</v>
          </cell>
          <cell r="O278" t="str">
            <v>W</v>
          </cell>
          <cell r="P278" t="str">
            <v>A</v>
          </cell>
          <cell r="Q278" t="str">
            <v/>
          </cell>
          <cell r="R278" t="str">
            <v>-</v>
          </cell>
        </row>
        <row r="279">
          <cell r="A279">
            <v>355688</v>
          </cell>
          <cell r="B279">
            <v>655</v>
          </cell>
          <cell r="C279">
            <v>5429</v>
          </cell>
          <cell r="D279" t="str">
            <v>235/60 R18</v>
          </cell>
          <cell r="E279">
            <v>103</v>
          </cell>
          <cell r="F279" t="str">
            <v>V</v>
          </cell>
          <cell r="G279" t="str">
            <v>TS870 XL</v>
          </cell>
          <cell r="H279">
            <v>355688</v>
          </cell>
          <cell r="I279">
            <v>52654</v>
          </cell>
          <cell r="J279">
            <v>0</v>
          </cell>
          <cell r="K279" t="str">
            <v>P7</v>
          </cell>
          <cell r="L279" t="str">
            <v>ARWY</v>
          </cell>
          <cell r="M279" t="str">
            <v>A</v>
          </cell>
          <cell r="N279" t="str">
            <v>R</v>
          </cell>
          <cell r="O279" t="str">
            <v>W</v>
          </cell>
          <cell r="P279" t="str">
            <v>Y</v>
          </cell>
          <cell r="Q279" t="str">
            <v/>
          </cell>
          <cell r="R279" t="str">
            <v>-</v>
          </cell>
        </row>
        <row r="280">
          <cell r="A280">
            <v>355691</v>
          </cell>
          <cell r="B280">
            <v>972</v>
          </cell>
          <cell r="C280">
            <v>58124</v>
          </cell>
          <cell r="D280" t="str">
            <v>245/40 R18</v>
          </cell>
          <cell r="E280">
            <v>97</v>
          </cell>
          <cell r="F280" t="str">
            <v>V</v>
          </cell>
          <cell r="G280" t="str">
            <v>TS870 XL</v>
          </cell>
          <cell r="H280">
            <v>355691</v>
          </cell>
          <cell r="I280">
            <v>52872</v>
          </cell>
          <cell r="J280">
            <v>0</v>
          </cell>
          <cell r="K280" t="str">
            <v>P4</v>
          </cell>
          <cell r="L280" t="str">
            <v>AAGRG</v>
          </cell>
          <cell r="M280" t="str">
            <v>A</v>
          </cell>
          <cell r="N280" t="str">
            <v>A</v>
          </cell>
          <cell r="O280" t="str">
            <v>G</v>
          </cell>
          <cell r="P280" t="str">
            <v>R</v>
          </cell>
          <cell r="Q280" t="str">
            <v>G</v>
          </cell>
          <cell r="R280" t="str">
            <v>-</v>
          </cell>
        </row>
        <row r="281">
          <cell r="A281">
            <v>355692</v>
          </cell>
          <cell r="B281">
            <v>972</v>
          </cell>
          <cell r="C281">
            <v>58024</v>
          </cell>
          <cell r="D281" t="str">
            <v>245/40 R18</v>
          </cell>
          <cell r="E281">
            <v>97</v>
          </cell>
          <cell r="F281" t="str">
            <v>W</v>
          </cell>
          <cell r="G281" t="str">
            <v>TS870 XL</v>
          </cell>
          <cell r="H281">
            <v>355692</v>
          </cell>
          <cell r="I281">
            <v>52871</v>
          </cell>
          <cell r="J281">
            <v>0</v>
          </cell>
          <cell r="K281" t="str">
            <v>P4</v>
          </cell>
          <cell r="L281" t="str">
            <v>RROAG</v>
          </cell>
          <cell r="M281" t="str">
            <v>R</v>
          </cell>
          <cell r="N281" t="str">
            <v>R</v>
          </cell>
          <cell r="O281" t="str">
            <v>O</v>
          </cell>
          <cell r="P281" t="str">
            <v>A</v>
          </cell>
          <cell r="Q281" t="str">
            <v>G</v>
          </cell>
          <cell r="R281" t="str">
            <v>-</v>
          </cell>
        </row>
        <row r="282">
          <cell r="A282">
            <v>355694</v>
          </cell>
          <cell r="B282">
            <v>457</v>
          </cell>
          <cell r="C282">
            <v>4069</v>
          </cell>
          <cell r="D282" t="str">
            <v>245/45 R18</v>
          </cell>
          <cell r="E282">
            <v>100</v>
          </cell>
          <cell r="F282" t="str">
            <v>V</v>
          </cell>
          <cell r="G282" t="str">
            <v>TS870P XL</v>
          </cell>
          <cell r="H282">
            <v>355694</v>
          </cell>
          <cell r="I282">
            <v>52672</v>
          </cell>
          <cell r="J282">
            <v>0</v>
          </cell>
          <cell r="K282" t="str">
            <v>P4</v>
          </cell>
          <cell r="L282" t="str">
            <v>YRO</v>
          </cell>
          <cell r="M282" t="str">
            <v>Y</v>
          </cell>
          <cell r="N282" t="str">
            <v>R</v>
          </cell>
          <cell r="O282" t="str">
            <v>O</v>
          </cell>
          <cell r="P282" t="str">
            <v/>
          </cell>
          <cell r="Q282" t="str">
            <v/>
          </cell>
          <cell r="R282" t="str">
            <v>-</v>
          </cell>
        </row>
        <row r="283">
          <cell r="A283">
            <v>355698</v>
          </cell>
          <cell r="B283">
            <v>385</v>
          </cell>
          <cell r="C283">
            <v>4312</v>
          </cell>
          <cell r="D283" t="str">
            <v>215/50 R17</v>
          </cell>
          <cell r="E283">
            <v>95</v>
          </cell>
          <cell r="F283" t="str">
            <v>H</v>
          </cell>
          <cell r="G283" t="str">
            <v>TS870 P XL</v>
          </cell>
          <cell r="H283">
            <v>355698</v>
          </cell>
          <cell r="I283">
            <v>52289</v>
          </cell>
          <cell r="J283">
            <v>0</v>
          </cell>
          <cell r="K283" t="str">
            <v>P4</v>
          </cell>
          <cell r="L283" t="str">
            <v>AOGOR</v>
          </cell>
          <cell r="M283" t="str">
            <v>A</v>
          </cell>
          <cell r="N283" t="str">
            <v>O</v>
          </cell>
          <cell r="O283" t="str">
            <v>G</v>
          </cell>
          <cell r="P283" t="str">
            <v>O</v>
          </cell>
          <cell r="Q283" t="str">
            <v>R</v>
          </cell>
          <cell r="R283" t="str">
            <v>-</v>
          </cell>
        </row>
        <row r="284">
          <cell r="A284">
            <v>355699</v>
          </cell>
          <cell r="B284">
            <v>962</v>
          </cell>
          <cell r="C284">
            <v>4212</v>
          </cell>
          <cell r="D284" t="str">
            <v>215/50 R17</v>
          </cell>
          <cell r="E284">
            <v>95</v>
          </cell>
          <cell r="F284" t="str">
            <v>V</v>
          </cell>
          <cell r="G284" t="str">
            <v>TS870 P XL</v>
          </cell>
          <cell r="H284">
            <v>355699</v>
          </cell>
          <cell r="I284">
            <v>52862</v>
          </cell>
          <cell r="J284">
            <v>0</v>
          </cell>
          <cell r="K284" t="str">
            <v>P4</v>
          </cell>
          <cell r="L284" t="str">
            <v>WRRRR</v>
          </cell>
          <cell r="M284" t="str">
            <v>W</v>
          </cell>
          <cell r="N284" t="str">
            <v>R</v>
          </cell>
          <cell r="O284" t="str">
            <v>R</v>
          </cell>
          <cell r="P284" t="str">
            <v>R</v>
          </cell>
          <cell r="Q284" t="str">
            <v>R</v>
          </cell>
          <cell r="R284" t="str">
            <v>-</v>
          </cell>
        </row>
        <row r="285">
          <cell r="A285">
            <v>355708</v>
          </cell>
          <cell r="B285" t="str">
            <v>-</v>
          </cell>
          <cell r="C285">
            <v>5017</v>
          </cell>
          <cell r="D285" t="str">
            <v>235/45 R20</v>
          </cell>
          <cell r="E285">
            <v>100</v>
          </cell>
          <cell r="F285" t="str">
            <v>W</v>
          </cell>
          <cell r="G285" t="str">
            <v>TS870P</v>
          </cell>
          <cell r="H285">
            <v>355708</v>
          </cell>
          <cell r="I285">
            <v>52647</v>
          </cell>
          <cell r="J285">
            <v>0</v>
          </cell>
          <cell r="K285" t="str">
            <v>P4</v>
          </cell>
          <cell r="L285" t="str">
            <v>AAYRR</v>
          </cell>
          <cell r="M285" t="str">
            <v>A</v>
          </cell>
          <cell r="N285" t="str">
            <v>A</v>
          </cell>
          <cell r="O285" t="str">
            <v>Y</v>
          </cell>
          <cell r="P285" t="str">
            <v>R</v>
          </cell>
          <cell r="Q285" t="str">
            <v>R</v>
          </cell>
          <cell r="R285" t="str">
            <v>-</v>
          </cell>
        </row>
        <row r="286">
          <cell r="A286">
            <v>355752</v>
          </cell>
          <cell r="B286">
            <v>8</v>
          </cell>
          <cell r="C286">
            <v>58008</v>
          </cell>
          <cell r="D286" t="str">
            <v>205/45 R17</v>
          </cell>
          <cell r="E286">
            <v>88</v>
          </cell>
          <cell r="F286" t="str">
            <v>V</v>
          </cell>
          <cell r="G286" t="str">
            <v>TS870P XL</v>
          </cell>
          <cell r="H286">
            <v>355752</v>
          </cell>
          <cell r="I286">
            <v>52057</v>
          </cell>
          <cell r="J286">
            <v>0</v>
          </cell>
          <cell r="K286" t="str">
            <v>P4</v>
          </cell>
          <cell r="L286" t="str">
            <v>RRAG</v>
          </cell>
          <cell r="M286" t="str">
            <v>R</v>
          </cell>
          <cell r="N286" t="str">
            <v>R</v>
          </cell>
          <cell r="O286" t="str">
            <v>A</v>
          </cell>
          <cell r="P286" t="str">
            <v>G</v>
          </cell>
          <cell r="Q286" t="str">
            <v/>
          </cell>
          <cell r="R286" t="str">
            <v>-</v>
          </cell>
        </row>
        <row r="287">
          <cell r="A287">
            <v>355774</v>
          </cell>
          <cell r="B287" t="str">
            <v>-</v>
          </cell>
          <cell r="C287">
            <v>5117</v>
          </cell>
          <cell r="D287" t="str">
            <v>235/45 R20</v>
          </cell>
          <cell r="E287">
            <v>100</v>
          </cell>
          <cell r="F287" t="str">
            <v>V</v>
          </cell>
          <cell r="G287" t="str">
            <v>TS870P</v>
          </cell>
          <cell r="H287">
            <v>355774</v>
          </cell>
          <cell r="I287">
            <v>52648</v>
          </cell>
          <cell r="J287">
            <v>0</v>
          </cell>
          <cell r="K287" t="str">
            <v>P4</v>
          </cell>
          <cell r="L287" t="str">
            <v>AAYGG</v>
          </cell>
          <cell r="M287" t="str">
            <v>A</v>
          </cell>
          <cell r="N287" t="str">
            <v>A</v>
          </cell>
          <cell r="O287" t="str">
            <v>Y</v>
          </cell>
          <cell r="P287" t="str">
            <v>G</v>
          </cell>
          <cell r="Q287" t="str">
            <v>G</v>
          </cell>
          <cell r="R287" t="str">
            <v>-</v>
          </cell>
        </row>
        <row r="288">
          <cell r="A288">
            <v>355793</v>
          </cell>
          <cell r="B288" t="str">
            <v>-</v>
          </cell>
          <cell r="C288">
            <v>3211</v>
          </cell>
          <cell r="D288" t="str">
            <v>195/50 R15</v>
          </cell>
          <cell r="E288">
            <v>82</v>
          </cell>
          <cell r="F288" t="str">
            <v>H</v>
          </cell>
          <cell r="G288" t="str">
            <v>TS870</v>
          </cell>
          <cell r="H288">
            <v>355793</v>
          </cell>
          <cell r="I288">
            <v>52611</v>
          </cell>
          <cell r="J288">
            <v>0</v>
          </cell>
          <cell r="K288" t="str">
            <v>P4</v>
          </cell>
          <cell r="L288" t="str">
            <v>AGAR</v>
          </cell>
          <cell r="M288" t="str">
            <v>A</v>
          </cell>
          <cell r="N288" t="str">
            <v>G</v>
          </cell>
          <cell r="O288" t="str">
            <v>A</v>
          </cell>
          <cell r="P288" t="str">
            <v>R</v>
          </cell>
          <cell r="Q288" t="str">
            <v/>
          </cell>
          <cell r="R288" t="str">
            <v>-</v>
          </cell>
        </row>
        <row r="289">
          <cell r="A289">
            <v>355803</v>
          </cell>
          <cell r="B289">
            <v>224</v>
          </cell>
          <cell r="C289">
            <v>3111</v>
          </cell>
          <cell r="D289" t="str">
            <v>195/45 R16</v>
          </cell>
          <cell r="E289">
            <v>84</v>
          </cell>
          <cell r="F289" t="str">
            <v>V</v>
          </cell>
          <cell r="G289" t="str">
            <v>TS870 XL</v>
          </cell>
          <cell r="H289">
            <v>355803</v>
          </cell>
          <cell r="I289">
            <v>52224</v>
          </cell>
          <cell r="J289">
            <v>0</v>
          </cell>
          <cell r="K289" t="str">
            <v>P4</v>
          </cell>
          <cell r="L289" t="str">
            <v>GAO</v>
          </cell>
          <cell r="M289" t="str">
            <v>G</v>
          </cell>
          <cell r="N289" t="str">
            <v>A</v>
          </cell>
          <cell r="O289" t="str">
            <v>O</v>
          </cell>
          <cell r="P289" t="str">
            <v/>
          </cell>
          <cell r="Q289" t="str">
            <v/>
          </cell>
          <cell r="R289" t="str">
            <v>-</v>
          </cell>
        </row>
        <row r="290">
          <cell r="A290">
            <v>355811</v>
          </cell>
          <cell r="B290" t="str">
            <v>-</v>
          </cell>
          <cell r="C290">
            <v>197</v>
          </cell>
          <cell r="D290" t="str">
            <v>205/50 R17</v>
          </cell>
          <cell r="E290">
            <v>93</v>
          </cell>
          <cell r="F290" t="str">
            <v>V</v>
          </cell>
          <cell r="G290" t="str">
            <v>ALLSEASON XL</v>
          </cell>
          <cell r="H290">
            <v>355811</v>
          </cell>
          <cell r="I290">
            <v>52099</v>
          </cell>
          <cell r="J290">
            <v>0</v>
          </cell>
          <cell r="K290" t="str">
            <v>P2</v>
          </cell>
          <cell r="L290" t="str">
            <v>OOOAO</v>
          </cell>
          <cell r="M290" t="str">
            <v>O</v>
          </cell>
          <cell r="N290" t="str">
            <v>O</v>
          </cell>
          <cell r="O290" t="str">
            <v>O</v>
          </cell>
          <cell r="P290" t="str">
            <v>A</v>
          </cell>
          <cell r="Q290" t="str">
            <v>O</v>
          </cell>
          <cell r="R290" t="str">
            <v>-</v>
          </cell>
        </row>
        <row r="291">
          <cell r="A291">
            <v>355812</v>
          </cell>
          <cell r="B291" t="str">
            <v>-</v>
          </cell>
          <cell r="C291">
            <v>97</v>
          </cell>
          <cell r="D291" t="str">
            <v>205/50 R17</v>
          </cell>
          <cell r="E291">
            <v>93</v>
          </cell>
          <cell r="F291" t="str">
            <v>W</v>
          </cell>
          <cell r="G291" t="str">
            <v>ALLSEASON XL</v>
          </cell>
          <cell r="H291">
            <v>355812</v>
          </cell>
          <cell r="I291">
            <v>52085</v>
          </cell>
          <cell r="J291">
            <v>0</v>
          </cell>
          <cell r="K291" t="str">
            <v>P2</v>
          </cell>
          <cell r="L291" t="str">
            <v>AAAOA</v>
          </cell>
          <cell r="M291" t="str">
            <v>A</v>
          </cell>
          <cell r="N291" t="str">
            <v>A</v>
          </cell>
          <cell r="O291" t="str">
            <v>A</v>
          </cell>
          <cell r="P291" t="str">
            <v>O</v>
          </cell>
          <cell r="Q291" t="str">
            <v>A</v>
          </cell>
          <cell r="R291" t="str">
            <v>-</v>
          </cell>
        </row>
        <row r="292">
          <cell r="A292">
            <v>355827</v>
          </cell>
          <cell r="B292">
            <v>615</v>
          </cell>
          <cell r="C292">
            <v>64</v>
          </cell>
          <cell r="D292" t="str">
            <v>205/55 R19</v>
          </cell>
          <cell r="E292">
            <v>97</v>
          </cell>
          <cell r="F292" t="str">
            <v>H</v>
          </cell>
          <cell r="G292" t="str">
            <v>TS870P XL</v>
          </cell>
          <cell r="H292">
            <v>355827</v>
          </cell>
          <cell r="I292">
            <v>52775</v>
          </cell>
          <cell r="J292">
            <v>0</v>
          </cell>
          <cell r="K292" t="str">
            <v>P4</v>
          </cell>
          <cell r="L292" t="str">
            <v>OG</v>
          </cell>
          <cell r="M292" t="str">
            <v>O</v>
          </cell>
          <cell r="N292" t="str">
            <v>G</v>
          </cell>
          <cell r="O292" t="str">
            <v/>
          </cell>
          <cell r="P292" t="str">
            <v/>
          </cell>
          <cell r="Q292" t="str">
            <v/>
          </cell>
          <cell r="R292" t="str">
            <v>-</v>
          </cell>
        </row>
        <row r="293">
          <cell r="A293">
            <v>355832</v>
          </cell>
          <cell r="B293">
            <v>897</v>
          </cell>
          <cell r="C293">
            <v>4032</v>
          </cell>
          <cell r="D293" t="str">
            <v>225/45 R19</v>
          </cell>
          <cell r="E293">
            <v>96</v>
          </cell>
          <cell r="F293" t="str">
            <v>V</v>
          </cell>
          <cell r="G293" t="str">
            <v>TS870P</v>
          </cell>
          <cell r="H293">
            <v>355832</v>
          </cell>
          <cell r="I293">
            <v>52887</v>
          </cell>
          <cell r="J293">
            <v>0</v>
          </cell>
          <cell r="K293" t="str">
            <v>P4</v>
          </cell>
          <cell r="L293" t="str">
            <v>GGRGG</v>
          </cell>
          <cell r="M293" t="str">
            <v>G</v>
          </cell>
          <cell r="N293" t="str">
            <v>G</v>
          </cell>
          <cell r="O293" t="str">
            <v>R</v>
          </cell>
          <cell r="P293" t="str">
            <v>G</v>
          </cell>
          <cell r="Q293" t="str">
            <v>G</v>
          </cell>
          <cell r="R293" t="str">
            <v>-</v>
          </cell>
        </row>
        <row r="294">
          <cell r="A294">
            <v>355836</v>
          </cell>
          <cell r="B294">
            <v>945</v>
          </cell>
          <cell r="C294">
            <v>3024</v>
          </cell>
          <cell r="D294" t="str">
            <v>235/50 R17</v>
          </cell>
          <cell r="E294">
            <v>96</v>
          </cell>
          <cell r="F294" t="str">
            <v>V</v>
          </cell>
          <cell r="G294" t="str">
            <v>TS870P</v>
          </cell>
          <cell r="H294">
            <v>355836</v>
          </cell>
          <cell r="I294">
            <v>52645</v>
          </cell>
          <cell r="J294">
            <v>0</v>
          </cell>
          <cell r="K294" t="str">
            <v>P4</v>
          </cell>
          <cell r="L294" t="str">
            <v>RWAA</v>
          </cell>
          <cell r="M294" t="str">
            <v>R</v>
          </cell>
          <cell r="N294" t="str">
            <v>W</v>
          </cell>
          <cell r="O294" t="str">
            <v>A</v>
          </cell>
          <cell r="P294" t="str">
            <v>A</v>
          </cell>
          <cell r="Q294" t="str">
            <v/>
          </cell>
          <cell r="R294" t="str">
            <v>-</v>
          </cell>
        </row>
        <row r="295">
          <cell r="A295">
            <v>355865</v>
          </cell>
          <cell r="B295" t="str">
            <v>-</v>
          </cell>
          <cell r="C295">
            <v>2054</v>
          </cell>
          <cell r="D295" t="str">
            <v>185/50 R16</v>
          </cell>
          <cell r="E295">
            <v>81</v>
          </cell>
          <cell r="F295" t="str">
            <v>H</v>
          </cell>
          <cell r="G295" t="str">
            <v>ALLSEASON CONTACT2</v>
          </cell>
          <cell r="H295">
            <v>355865</v>
          </cell>
          <cell r="I295">
            <v>52476</v>
          </cell>
          <cell r="J295">
            <v>0</v>
          </cell>
          <cell r="K295" t="str">
            <v>P2</v>
          </cell>
          <cell r="L295" t="str">
            <v>ROOOO</v>
          </cell>
          <cell r="M295" t="str">
            <v>R</v>
          </cell>
          <cell r="N295" t="str">
            <v>O</v>
          </cell>
          <cell r="O295" t="str">
            <v>O</v>
          </cell>
          <cell r="P295" t="str">
            <v>O</v>
          </cell>
          <cell r="Q295" t="str">
            <v>O</v>
          </cell>
          <cell r="R295" t="str">
            <v>-</v>
          </cell>
        </row>
        <row r="296">
          <cell r="A296">
            <v>355867</v>
          </cell>
          <cell r="B296" t="str">
            <v>-</v>
          </cell>
          <cell r="C296">
            <v>58068</v>
          </cell>
          <cell r="D296" t="str">
            <v>205/40 R18</v>
          </cell>
          <cell r="E296">
            <v>86</v>
          </cell>
          <cell r="F296" t="str">
            <v>Y</v>
          </cell>
          <cell r="G296" t="str">
            <v>ALLSEASON XL</v>
          </cell>
          <cell r="H296">
            <v>355867</v>
          </cell>
          <cell r="I296">
            <v>52068</v>
          </cell>
          <cell r="J296">
            <v>0</v>
          </cell>
          <cell r="K296" t="str">
            <v>P2</v>
          </cell>
          <cell r="L296" t="str">
            <v>AAAAA</v>
          </cell>
          <cell r="M296" t="str">
            <v>A</v>
          </cell>
          <cell r="N296" t="str">
            <v>A</v>
          </cell>
          <cell r="O296" t="str">
            <v>A</v>
          </cell>
          <cell r="P296" t="str">
            <v>A</v>
          </cell>
          <cell r="Q296" t="str">
            <v>A</v>
          </cell>
          <cell r="R296" t="str">
            <v>-</v>
          </cell>
        </row>
        <row r="297">
          <cell r="A297">
            <v>355871</v>
          </cell>
          <cell r="B297" t="str">
            <v>-</v>
          </cell>
          <cell r="C297">
            <v>58267</v>
          </cell>
          <cell r="D297" t="str">
            <v>205/45 R16</v>
          </cell>
          <cell r="E297">
            <v>83</v>
          </cell>
          <cell r="F297" t="str">
            <v>H</v>
          </cell>
          <cell r="G297" t="str">
            <v>ALLSEASON CONTACT2</v>
          </cell>
          <cell r="H297">
            <v>355871</v>
          </cell>
          <cell r="I297">
            <v>52507</v>
          </cell>
          <cell r="J297">
            <v>0</v>
          </cell>
          <cell r="K297" t="str">
            <v>P2</v>
          </cell>
          <cell r="L297" t="str">
            <v>AAAO</v>
          </cell>
          <cell r="M297" t="str">
            <v>A</v>
          </cell>
          <cell r="N297" t="str">
            <v>A</v>
          </cell>
          <cell r="O297" t="str">
            <v>A</v>
          </cell>
          <cell r="P297" t="str">
            <v>O</v>
          </cell>
          <cell r="Q297" t="str">
            <v/>
          </cell>
          <cell r="R297" t="str">
            <v>-</v>
          </cell>
        </row>
        <row r="298">
          <cell r="A298">
            <v>355883</v>
          </cell>
          <cell r="B298" t="str">
            <v>-</v>
          </cell>
          <cell r="C298">
            <v>4053</v>
          </cell>
          <cell r="D298" t="str">
            <v>185/55 R16</v>
          </cell>
          <cell r="E298">
            <v>87</v>
          </cell>
          <cell r="F298" t="str">
            <v>V</v>
          </cell>
          <cell r="G298" t="str">
            <v>ALLSEASON XL</v>
          </cell>
          <cell r="H298">
            <v>355883</v>
          </cell>
          <cell r="I298">
            <v>52593</v>
          </cell>
          <cell r="J298">
            <v>0</v>
          </cell>
          <cell r="K298" t="str">
            <v>P4</v>
          </cell>
          <cell r="L298" t="str">
            <v>AGOG</v>
          </cell>
          <cell r="M298" t="str">
            <v>A</v>
          </cell>
          <cell r="N298" t="str">
            <v>G</v>
          </cell>
          <cell r="O298" t="str">
            <v>O</v>
          </cell>
          <cell r="P298" t="str">
            <v>G</v>
          </cell>
          <cell r="Q298" t="str">
            <v/>
          </cell>
          <cell r="R298" t="str">
            <v>-</v>
          </cell>
        </row>
        <row r="299">
          <cell r="A299">
            <v>355911</v>
          </cell>
          <cell r="B299" t="str">
            <v>-</v>
          </cell>
          <cell r="C299">
            <v>6000</v>
          </cell>
          <cell r="D299" t="str">
            <v>225/50 R19</v>
          </cell>
          <cell r="E299">
            <v>100</v>
          </cell>
          <cell r="F299" t="str">
            <v>V</v>
          </cell>
          <cell r="G299" t="str">
            <v>ALLSEASON CONTACT2 XL</v>
          </cell>
          <cell r="H299">
            <v>355911</v>
          </cell>
          <cell r="I299">
            <v>52426</v>
          </cell>
          <cell r="J299">
            <v>0</v>
          </cell>
          <cell r="K299" t="str">
            <v>P2</v>
          </cell>
          <cell r="L299" t="str">
            <v>AAOOY</v>
          </cell>
          <cell r="M299" t="str">
            <v>A</v>
          </cell>
          <cell r="N299" t="str">
            <v>A</v>
          </cell>
          <cell r="O299" t="str">
            <v>O</v>
          </cell>
          <cell r="P299" t="str">
            <v>O</v>
          </cell>
          <cell r="Q299" t="str">
            <v>Y</v>
          </cell>
          <cell r="R299" t="str">
            <v>-</v>
          </cell>
        </row>
        <row r="300">
          <cell r="A300">
            <v>355934</v>
          </cell>
          <cell r="B300" t="str">
            <v>-</v>
          </cell>
          <cell r="C300">
            <v>30001</v>
          </cell>
          <cell r="D300" t="str">
            <v>255/45 R19</v>
          </cell>
          <cell r="E300">
            <v>100</v>
          </cell>
          <cell r="F300" t="str">
            <v>V</v>
          </cell>
          <cell r="G300" t="str">
            <v>TS870P AUDI</v>
          </cell>
          <cell r="H300">
            <v>355934</v>
          </cell>
          <cell r="I300">
            <v>52188</v>
          </cell>
          <cell r="J300">
            <v>2</v>
          </cell>
          <cell r="K300" t="str">
            <v>P0</v>
          </cell>
          <cell r="L300" t="str">
            <v>WAGGG</v>
          </cell>
          <cell r="M300" t="str">
            <v>W</v>
          </cell>
          <cell r="N300" t="str">
            <v>A</v>
          </cell>
          <cell r="O300" t="str">
            <v>G</v>
          </cell>
          <cell r="P300" t="str">
            <v>G</v>
          </cell>
          <cell r="Q300" t="str">
            <v>G</v>
          </cell>
          <cell r="R300" t="str">
            <v>-</v>
          </cell>
        </row>
        <row r="301">
          <cell r="A301">
            <v>355998</v>
          </cell>
          <cell r="B301" t="str">
            <v>-</v>
          </cell>
          <cell r="C301">
            <v>5053</v>
          </cell>
          <cell r="D301" t="str">
            <v>245/50 R18</v>
          </cell>
          <cell r="E301">
            <v>100</v>
          </cell>
          <cell r="F301" t="str">
            <v>V</v>
          </cell>
          <cell r="G301" t="str">
            <v>ALLSEASON CONTACT2</v>
          </cell>
          <cell r="H301">
            <v>355998</v>
          </cell>
          <cell r="I301">
            <v>52354</v>
          </cell>
          <cell r="J301">
            <v>0</v>
          </cell>
          <cell r="K301" t="str">
            <v>P2</v>
          </cell>
          <cell r="L301" t="str">
            <v>YYGA</v>
          </cell>
          <cell r="M301" t="str">
            <v>Y</v>
          </cell>
          <cell r="N301" t="str">
            <v>Y</v>
          </cell>
          <cell r="O301" t="str">
            <v>G</v>
          </cell>
          <cell r="P301" t="str">
            <v>A</v>
          </cell>
          <cell r="Q301" t="str">
            <v/>
          </cell>
          <cell r="R301" t="str">
            <v>-</v>
          </cell>
        </row>
        <row r="302">
          <cell r="A302">
            <v>355999</v>
          </cell>
          <cell r="B302" t="str">
            <v>-</v>
          </cell>
          <cell r="C302">
            <v>5051</v>
          </cell>
          <cell r="D302" t="str">
            <v>185/65 R15</v>
          </cell>
          <cell r="E302">
            <v>92</v>
          </cell>
          <cell r="F302" t="str">
            <v>T</v>
          </cell>
          <cell r="G302" t="str">
            <v>ALLSEASON CONTACT</v>
          </cell>
          <cell r="H302">
            <v>355999</v>
          </cell>
          <cell r="I302">
            <v>52163</v>
          </cell>
          <cell r="J302">
            <v>0</v>
          </cell>
          <cell r="K302" t="str">
            <v>P2</v>
          </cell>
          <cell r="L302" t="str">
            <v>AAAWA</v>
          </cell>
          <cell r="M302" t="str">
            <v>A</v>
          </cell>
          <cell r="N302" t="str">
            <v>A</v>
          </cell>
          <cell r="O302" t="str">
            <v>A</v>
          </cell>
          <cell r="P302" t="str">
            <v>W</v>
          </cell>
          <cell r="Q302" t="str">
            <v>A</v>
          </cell>
          <cell r="R302" t="str">
            <v>-</v>
          </cell>
        </row>
        <row r="303">
          <cell r="A303">
            <v>356095</v>
          </cell>
          <cell r="B303">
            <v>477</v>
          </cell>
          <cell r="C303">
            <v>2082</v>
          </cell>
          <cell r="D303" t="str">
            <v>205/55 R16</v>
          </cell>
          <cell r="E303">
            <v>91</v>
          </cell>
          <cell r="F303" t="str">
            <v>W</v>
          </cell>
          <cell r="G303" t="str">
            <v>CEC5</v>
          </cell>
          <cell r="H303">
            <v>356095</v>
          </cell>
          <cell r="I303">
            <v>52177</v>
          </cell>
          <cell r="J303">
            <v>0</v>
          </cell>
          <cell r="K303" t="str">
            <v>R</v>
          </cell>
          <cell r="L303" t="str">
            <v>WGYY</v>
          </cell>
          <cell r="M303" t="str">
            <v>W</v>
          </cell>
          <cell r="N303" t="str">
            <v>G</v>
          </cell>
          <cell r="O303" t="str">
            <v>Y</v>
          </cell>
          <cell r="P303" t="str">
            <v>Y</v>
          </cell>
          <cell r="Q303" t="str">
            <v/>
          </cell>
          <cell r="R303" t="str">
            <v>-</v>
          </cell>
        </row>
        <row r="304">
          <cell r="A304">
            <v>356436</v>
          </cell>
          <cell r="B304">
            <v>725</v>
          </cell>
          <cell r="C304">
            <v>5136</v>
          </cell>
          <cell r="D304" t="str">
            <v>185/60 R15</v>
          </cell>
          <cell r="E304">
            <v>84</v>
          </cell>
          <cell r="F304" t="str">
            <v>H</v>
          </cell>
          <cell r="G304" t="str">
            <v>CEC5</v>
          </cell>
          <cell r="H304">
            <v>356436</v>
          </cell>
          <cell r="I304">
            <v>52725</v>
          </cell>
          <cell r="J304">
            <v>0</v>
          </cell>
          <cell r="K304" t="str">
            <v>P4</v>
          </cell>
          <cell r="L304" t="str">
            <v>WAAAR</v>
          </cell>
          <cell r="M304" t="str">
            <v>W</v>
          </cell>
          <cell r="N304" t="str">
            <v>A</v>
          </cell>
          <cell r="O304" t="str">
            <v>A</v>
          </cell>
          <cell r="P304" t="str">
            <v>A</v>
          </cell>
          <cell r="Q304" t="str">
            <v>R</v>
          </cell>
          <cell r="R304" t="str">
            <v>-</v>
          </cell>
        </row>
        <row r="305">
          <cell r="A305">
            <v>356478</v>
          </cell>
          <cell r="B305">
            <v>263</v>
          </cell>
          <cell r="C305">
            <v>227</v>
          </cell>
          <cell r="D305" t="str">
            <v>205/60 R16</v>
          </cell>
          <cell r="E305">
            <v>96</v>
          </cell>
          <cell r="F305" t="str">
            <v>V</v>
          </cell>
          <cell r="G305" t="str">
            <v>CPC5 XL</v>
          </cell>
          <cell r="H305">
            <v>356478</v>
          </cell>
          <cell r="I305">
            <v>52273</v>
          </cell>
          <cell r="J305">
            <v>0</v>
          </cell>
          <cell r="K305" t="str">
            <v>P4</v>
          </cell>
          <cell r="L305" t="str">
            <v>YYYA</v>
          </cell>
          <cell r="M305" t="str">
            <v>Y</v>
          </cell>
          <cell r="N305" t="str">
            <v>Y</v>
          </cell>
          <cell r="O305" t="str">
            <v>Y</v>
          </cell>
          <cell r="P305" t="str">
            <v>A</v>
          </cell>
          <cell r="Q305" t="str">
            <v/>
          </cell>
          <cell r="R305" t="str">
            <v>-</v>
          </cell>
        </row>
        <row r="306">
          <cell r="A306">
            <v>356557</v>
          </cell>
          <cell r="B306">
            <v>621</v>
          </cell>
          <cell r="C306">
            <v>3038</v>
          </cell>
          <cell r="D306" t="str">
            <v>235/55 R17</v>
          </cell>
          <cell r="E306">
            <v>103</v>
          </cell>
          <cell r="F306" t="str">
            <v>W</v>
          </cell>
          <cell r="G306" t="str">
            <v>CPC5 XL</v>
          </cell>
          <cell r="H306">
            <v>356557</v>
          </cell>
          <cell r="I306">
            <v>52621</v>
          </cell>
          <cell r="J306">
            <v>0</v>
          </cell>
          <cell r="K306" t="str">
            <v>R</v>
          </cell>
          <cell r="L306" t="str">
            <v>AGYO</v>
          </cell>
          <cell r="M306" t="str">
            <v>A</v>
          </cell>
          <cell r="N306" t="str">
            <v>G</v>
          </cell>
          <cell r="O306" t="str">
            <v>Y</v>
          </cell>
          <cell r="P306" t="str">
            <v>O</v>
          </cell>
          <cell r="Q306" t="str">
            <v/>
          </cell>
          <cell r="R306" t="str">
            <v>-</v>
          </cell>
        </row>
        <row r="307">
          <cell r="A307">
            <v>356688</v>
          </cell>
          <cell r="B307">
            <v>640</v>
          </cell>
          <cell r="C307">
            <v>3088</v>
          </cell>
          <cell r="D307" t="str">
            <v>215/45 R16</v>
          </cell>
          <cell r="E307">
            <v>90</v>
          </cell>
          <cell r="F307" t="str">
            <v>V</v>
          </cell>
          <cell r="G307" t="str">
            <v>CPC2 XL</v>
          </cell>
          <cell r="H307">
            <v>356688</v>
          </cell>
          <cell r="I307">
            <v>52640</v>
          </cell>
          <cell r="J307">
            <v>0</v>
          </cell>
          <cell r="K307" t="str">
            <v>P4</v>
          </cell>
          <cell r="L307" t="str">
            <v>WGYRR</v>
          </cell>
          <cell r="M307" t="str">
            <v>W</v>
          </cell>
          <cell r="N307" t="str">
            <v>G</v>
          </cell>
          <cell r="O307" t="str">
            <v>Y</v>
          </cell>
          <cell r="P307" t="str">
            <v>R</v>
          </cell>
          <cell r="Q307" t="str">
            <v>R</v>
          </cell>
          <cell r="R307" t="str">
            <v>-</v>
          </cell>
        </row>
        <row r="308">
          <cell r="A308">
            <v>356719</v>
          </cell>
          <cell r="B308">
            <v>361</v>
          </cell>
          <cell r="C308">
            <v>2098</v>
          </cell>
          <cell r="D308" t="str">
            <v>205/45 R16</v>
          </cell>
          <cell r="E308">
            <v>83</v>
          </cell>
          <cell r="F308" t="str">
            <v>H</v>
          </cell>
          <cell r="G308" t="str">
            <v>CEC5</v>
          </cell>
          <cell r="H308">
            <v>356719</v>
          </cell>
          <cell r="I308">
            <v>52361</v>
          </cell>
          <cell r="J308">
            <v>0</v>
          </cell>
          <cell r="K308" t="str">
            <v>P8</v>
          </cell>
          <cell r="L308" t="str">
            <v>YWARG</v>
          </cell>
          <cell r="M308" t="str">
            <v>Y</v>
          </cell>
          <cell r="N308" t="str">
            <v>W</v>
          </cell>
          <cell r="O308" t="str">
            <v>A</v>
          </cell>
          <cell r="P308" t="str">
            <v>R</v>
          </cell>
          <cell r="Q308" t="str">
            <v>G</v>
          </cell>
          <cell r="R308" t="str">
            <v>-</v>
          </cell>
        </row>
        <row r="309">
          <cell r="A309">
            <v>356743</v>
          </cell>
          <cell r="B309">
            <v>175</v>
          </cell>
          <cell r="C309">
            <v>2021</v>
          </cell>
          <cell r="D309" t="str">
            <v>235/55 R17</v>
          </cell>
          <cell r="E309">
            <v>99</v>
          </cell>
          <cell r="F309" t="str">
            <v>V</v>
          </cell>
          <cell r="G309" t="str">
            <v>CPC5</v>
          </cell>
          <cell r="H309">
            <v>356743</v>
          </cell>
          <cell r="I309">
            <v>52312</v>
          </cell>
          <cell r="J309">
            <v>0</v>
          </cell>
          <cell r="K309" t="str">
            <v>P7</v>
          </cell>
          <cell r="L309" t="str">
            <v>WAAR</v>
          </cell>
          <cell r="M309" t="str">
            <v>W</v>
          </cell>
          <cell r="N309" t="str">
            <v>A</v>
          </cell>
          <cell r="O309" t="str">
            <v>A</v>
          </cell>
          <cell r="P309" t="str">
            <v>R</v>
          </cell>
          <cell r="Q309" t="str">
            <v/>
          </cell>
          <cell r="R309" t="str">
            <v>-</v>
          </cell>
        </row>
        <row r="310">
          <cell r="A310">
            <v>356867</v>
          </cell>
          <cell r="B310" t="str">
            <v>-</v>
          </cell>
          <cell r="C310">
            <v>5011</v>
          </cell>
          <cell r="D310" t="str">
            <v>225/65 R17</v>
          </cell>
          <cell r="E310">
            <v>102</v>
          </cell>
          <cell r="F310" t="str">
            <v>V</v>
          </cell>
          <cell r="G310" t="str">
            <v>CPC5</v>
          </cell>
          <cell r="H310">
            <v>356867</v>
          </cell>
          <cell r="I310">
            <v>52443</v>
          </cell>
          <cell r="J310">
            <v>0</v>
          </cell>
          <cell r="K310" t="str">
            <v>P8</v>
          </cell>
          <cell r="L310" t="str">
            <v>RRRO</v>
          </cell>
          <cell r="M310" t="str">
            <v>R</v>
          </cell>
          <cell r="N310" t="str">
            <v>R</v>
          </cell>
          <cell r="O310" t="str">
            <v>R</v>
          </cell>
          <cell r="P310" t="str">
            <v>O</v>
          </cell>
          <cell r="Q310" t="str">
            <v/>
          </cell>
          <cell r="R310" t="str">
            <v>-</v>
          </cell>
        </row>
        <row r="311">
          <cell r="A311">
            <v>356921</v>
          </cell>
          <cell r="B311">
            <v>653</v>
          </cell>
          <cell r="C311">
            <v>3058</v>
          </cell>
          <cell r="D311" t="str">
            <v>215/65 R16</v>
          </cell>
          <cell r="E311">
            <v>98</v>
          </cell>
          <cell r="F311" t="str">
            <v>V</v>
          </cell>
          <cell r="G311" t="str">
            <v>CEC5 AUDI</v>
          </cell>
          <cell r="H311">
            <v>356921</v>
          </cell>
          <cell r="I311">
            <v>52653</v>
          </cell>
          <cell r="J311">
            <v>2</v>
          </cell>
          <cell r="K311" t="str">
            <v>P4</v>
          </cell>
          <cell r="L311" t="str">
            <v>WAA</v>
          </cell>
          <cell r="M311" t="str">
            <v>W</v>
          </cell>
          <cell r="N311" t="str">
            <v>A</v>
          </cell>
          <cell r="O311" t="str">
            <v>A</v>
          </cell>
          <cell r="P311" t="str">
            <v/>
          </cell>
          <cell r="Q311" t="str">
            <v/>
          </cell>
          <cell r="R311" t="str">
            <v>-</v>
          </cell>
        </row>
        <row r="312">
          <cell r="A312">
            <v>356960</v>
          </cell>
          <cell r="B312">
            <v>21</v>
          </cell>
          <cell r="C312">
            <v>3048</v>
          </cell>
          <cell r="D312" t="str">
            <v>205/60 R16</v>
          </cell>
          <cell r="E312">
            <v>92</v>
          </cell>
          <cell r="F312" t="str">
            <v>H</v>
          </cell>
          <cell r="G312" t="str">
            <v>CEC5</v>
          </cell>
          <cell r="H312">
            <v>356960</v>
          </cell>
          <cell r="I312">
            <v>52021</v>
          </cell>
          <cell r="J312">
            <v>0</v>
          </cell>
          <cell r="K312" t="str">
            <v>R</v>
          </cell>
          <cell r="L312" t="str">
            <v>WOG</v>
          </cell>
          <cell r="M312" t="str">
            <v>W</v>
          </cell>
          <cell r="N312" t="str">
            <v>O</v>
          </cell>
          <cell r="O312" t="str">
            <v>G</v>
          </cell>
          <cell r="P312" t="str">
            <v/>
          </cell>
          <cell r="Q312" t="str">
            <v/>
          </cell>
          <cell r="R312" t="str">
            <v>-</v>
          </cell>
        </row>
        <row r="313">
          <cell r="A313">
            <v>357032</v>
          </cell>
          <cell r="B313">
            <v>232</v>
          </cell>
          <cell r="C313">
            <v>45</v>
          </cell>
          <cell r="D313" t="str">
            <v>205/50 R17</v>
          </cell>
          <cell r="E313">
            <v>89</v>
          </cell>
          <cell r="F313" t="str">
            <v>V</v>
          </cell>
          <cell r="G313" t="str">
            <v>PC6</v>
          </cell>
          <cell r="H313">
            <v>357032</v>
          </cell>
          <cell r="I313">
            <v>52230</v>
          </cell>
          <cell r="J313">
            <v>0</v>
          </cell>
          <cell r="K313" t="str">
            <v>P7</v>
          </cell>
          <cell r="L313" t="str">
            <v>RWWOA</v>
          </cell>
          <cell r="M313" t="str">
            <v>R</v>
          </cell>
          <cell r="N313" t="str">
            <v>W</v>
          </cell>
          <cell r="O313" t="str">
            <v>W</v>
          </cell>
          <cell r="P313" t="str">
            <v>O</v>
          </cell>
          <cell r="Q313" t="str">
            <v>A</v>
          </cell>
          <cell r="R313" t="str">
            <v>-</v>
          </cell>
        </row>
        <row r="314">
          <cell r="A314">
            <v>357082</v>
          </cell>
          <cell r="B314">
            <v>146</v>
          </cell>
          <cell r="C314">
            <v>63</v>
          </cell>
          <cell r="D314" t="str">
            <v>235/45 R18</v>
          </cell>
          <cell r="E314">
            <v>98</v>
          </cell>
          <cell r="F314" t="str">
            <v>Y</v>
          </cell>
          <cell r="G314" t="str">
            <v>PC6 XL</v>
          </cell>
          <cell r="H314">
            <v>357082</v>
          </cell>
          <cell r="I314">
            <v>52145</v>
          </cell>
          <cell r="J314">
            <v>0</v>
          </cell>
          <cell r="K314" t="str">
            <v>P4</v>
          </cell>
          <cell r="L314" t="str">
            <v>WWOG</v>
          </cell>
          <cell r="M314" t="str">
            <v>W</v>
          </cell>
          <cell r="N314" t="str">
            <v>W</v>
          </cell>
          <cell r="O314" t="str">
            <v>O</v>
          </cell>
          <cell r="P314" t="str">
            <v>G</v>
          </cell>
          <cell r="Q314" t="str">
            <v/>
          </cell>
          <cell r="R314" t="str">
            <v>-</v>
          </cell>
        </row>
        <row r="315">
          <cell r="A315">
            <v>357087</v>
          </cell>
          <cell r="B315" t="str">
            <v>-</v>
          </cell>
          <cell r="C315">
            <v>4072</v>
          </cell>
          <cell r="D315" t="str">
            <v>225/55 R18</v>
          </cell>
          <cell r="E315">
            <v>98</v>
          </cell>
          <cell r="F315" t="str">
            <v>V</v>
          </cell>
          <cell r="G315" t="str">
            <v>CCC LX2</v>
          </cell>
          <cell r="H315">
            <v>357087</v>
          </cell>
          <cell r="I315">
            <v>52138</v>
          </cell>
          <cell r="J315">
            <v>0</v>
          </cell>
          <cell r="K315" t="str">
            <v>P4</v>
          </cell>
          <cell r="L315" t="str">
            <v>W</v>
          </cell>
          <cell r="M315" t="str">
            <v>W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>-</v>
          </cell>
        </row>
        <row r="316">
          <cell r="A316">
            <v>357097</v>
          </cell>
          <cell r="B316">
            <v>206</v>
          </cell>
          <cell r="C316">
            <v>3044</v>
          </cell>
          <cell r="D316" t="str">
            <v>245/45 R17</v>
          </cell>
          <cell r="E316">
            <v>95</v>
          </cell>
          <cell r="F316" t="str">
            <v>Y</v>
          </cell>
          <cell r="G316" t="str">
            <v>PC6</v>
          </cell>
          <cell r="H316">
            <v>357097</v>
          </cell>
          <cell r="I316">
            <v>52202</v>
          </cell>
          <cell r="J316">
            <v>0</v>
          </cell>
          <cell r="K316" t="str">
            <v>P4</v>
          </cell>
          <cell r="L316" t="str">
            <v>AAGRW</v>
          </cell>
          <cell r="M316" t="str">
            <v>A</v>
          </cell>
          <cell r="N316" t="str">
            <v>A</v>
          </cell>
          <cell r="O316" t="str">
            <v>G</v>
          </cell>
          <cell r="P316" t="str">
            <v>R</v>
          </cell>
          <cell r="Q316" t="str">
            <v>W</v>
          </cell>
          <cell r="R316" t="str">
            <v>-</v>
          </cell>
        </row>
        <row r="317">
          <cell r="A317">
            <v>357270</v>
          </cell>
          <cell r="B317">
            <v>539</v>
          </cell>
          <cell r="C317">
            <v>3027</v>
          </cell>
          <cell r="D317" t="str">
            <v>235/45 R17</v>
          </cell>
          <cell r="E317">
            <v>94</v>
          </cell>
          <cell r="F317" t="str">
            <v>W</v>
          </cell>
          <cell r="G317" t="str">
            <v>PC6</v>
          </cell>
          <cell r="H317">
            <v>357270</v>
          </cell>
          <cell r="I317">
            <v>52357</v>
          </cell>
          <cell r="J317">
            <v>0</v>
          </cell>
          <cell r="K317" t="str">
            <v>P4</v>
          </cell>
          <cell r="L317" t="str">
            <v>AAWWR</v>
          </cell>
          <cell r="M317" t="str">
            <v>A</v>
          </cell>
          <cell r="N317" t="str">
            <v>A</v>
          </cell>
          <cell r="O317" t="str">
            <v>W</v>
          </cell>
          <cell r="P317" t="str">
            <v>W</v>
          </cell>
          <cell r="Q317" t="str">
            <v>R</v>
          </cell>
          <cell r="R317" t="str">
            <v>-</v>
          </cell>
        </row>
        <row r="318">
          <cell r="A318">
            <v>357383</v>
          </cell>
          <cell r="B318">
            <v>451</v>
          </cell>
          <cell r="C318">
            <v>5018</v>
          </cell>
          <cell r="D318" t="str">
            <v>235/55 R17</v>
          </cell>
          <cell r="E318">
            <v>103</v>
          </cell>
          <cell r="F318" t="str">
            <v>H</v>
          </cell>
          <cell r="G318" t="str">
            <v>CEC5 XL</v>
          </cell>
          <cell r="H318">
            <v>357383</v>
          </cell>
          <cell r="I318">
            <v>52451</v>
          </cell>
          <cell r="J318">
            <v>0</v>
          </cell>
          <cell r="K318" t="str">
            <v>P4</v>
          </cell>
          <cell r="L318" t="str">
            <v>A</v>
          </cell>
          <cell r="M318" t="str">
            <v>A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>-</v>
          </cell>
        </row>
        <row r="319">
          <cell r="A319">
            <v>357494</v>
          </cell>
          <cell r="B319">
            <v>406</v>
          </cell>
          <cell r="C319">
            <v>3001</v>
          </cell>
          <cell r="D319" t="str">
            <v>215/50 R17</v>
          </cell>
          <cell r="E319">
            <v>91</v>
          </cell>
          <cell r="F319" t="str">
            <v>Y</v>
          </cell>
          <cell r="G319" t="str">
            <v>PC6</v>
          </cell>
          <cell r="H319">
            <v>357494</v>
          </cell>
          <cell r="I319">
            <v>52406</v>
          </cell>
          <cell r="J319">
            <v>0</v>
          </cell>
          <cell r="K319" t="str">
            <v>P3</v>
          </cell>
          <cell r="L319" t="str">
            <v>GGGYY</v>
          </cell>
          <cell r="M319" t="str">
            <v>G</v>
          </cell>
          <cell r="N319" t="str">
            <v>G</v>
          </cell>
          <cell r="O319" t="str">
            <v>G</v>
          </cell>
          <cell r="P319" t="str">
            <v>Y</v>
          </cell>
          <cell r="Q319" t="str">
            <v>Y</v>
          </cell>
          <cell r="R319" t="str">
            <v>-</v>
          </cell>
        </row>
        <row r="320">
          <cell r="A320">
            <v>358005</v>
          </cell>
          <cell r="B320">
            <v>285</v>
          </cell>
          <cell r="C320">
            <v>40</v>
          </cell>
          <cell r="D320" t="str">
            <v>135/70 R15</v>
          </cell>
          <cell r="E320">
            <v>70</v>
          </cell>
          <cell r="F320" t="str">
            <v>T</v>
          </cell>
          <cell r="G320" t="str">
            <v>CEC EP</v>
          </cell>
          <cell r="H320">
            <v>358005</v>
          </cell>
          <cell r="I320">
            <v>52248</v>
          </cell>
          <cell r="J320">
            <v>0</v>
          </cell>
          <cell r="K320" t="str">
            <v>P4</v>
          </cell>
          <cell r="L320" t="str">
            <v>ROGG</v>
          </cell>
          <cell r="M320" t="str">
            <v>R</v>
          </cell>
          <cell r="N320" t="str">
            <v>O</v>
          </cell>
          <cell r="O320" t="str">
            <v>G</v>
          </cell>
          <cell r="P320" t="str">
            <v>G</v>
          </cell>
          <cell r="Q320" t="str">
            <v/>
          </cell>
          <cell r="R320" t="str">
            <v>-</v>
          </cell>
        </row>
        <row r="321">
          <cell r="A321">
            <v>358067</v>
          </cell>
          <cell r="B321">
            <v>327</v>
          </cell>
          <cell r="C321">
            <v>4042</v>
          </cell>
          <cell r="D321" t="str">
            <v>195/65 R15</v>
          </cell>
          <cell r="E321">
            <v>91</v>
          </cell>
          <cell r="F321" t="str">
            <v>H</v>
          </cell>
          <cell r="G321" t="str">
            <v>PC6</v>
          </cell>
          <cell r="H321">
            <v>358067</v>
          </cell>
          <cell r="I321">
            <v>52320</v>
          </cell>
          <cell r="J321">
            <v>0</v>
          </cell>
          <cell r="K321" t="str">
            <v>P4</v>
          </cell>
          <cell r="L321" t="str">
            <v>WRRRY</v>
          </cell>
          <cell r="M321" t="str">
            <v>W</v>
          </cell>
          <cell r="N321" t="str">
            <v>R</v>
          </cell>
          <cell r="O321" t="str">
            <v>R</v>
          </cell>
          <cell r="P321" t="str">
            <v>R</v>
          </cell>
          <cell r="Q321" t="str">
            <v>Y</v>
          </cell>
          <cell r="R321" t="str">
            <v>-</v>
          </cell>
        </row>
        <row r="322">
          <cell r="A322">
            <v>358069</v>
          </cell>
          <cell r="B322">
            <v>573</v>
          </cell>
          <cell r="C322">
            <v>4142</v>
          </cell>
          <cell r="D322" t="str">
            <v>195/65 R15</v>
          </cell>
          <cell r="E322">
            <v>91</v>
          </cell>
          <cell r="F322" t="str">
            <v>V</v>
          </cell>
          <cell r="G322" t="str">
            <v>PC6</v>
          </cell>
          <cell r="H322">
            <v>358069</v>
          </cell>
          <cell r="I322">
            <v>52563</v>
          </cell>
          <cell r="J322">
            <v>0</v>
          </cell>
          <cell r="K322" t="str">
            <v>P4</v>
          </cell>
          <cell r="L322" t="str">
            <v>YYYG</v>
          </cell>
          <cell r="M322" t="str">
            <v>Y</v>
          </cell>
          <cell r="N322" t="str">
            <v>Y</v>
          </cell>
          <cell r="O322" t="str">
            <v>Y</v>
          </cell>
          <cell r="P322" t="str">
            <v>G</v>
          </cell>
          <cell r="Q322" t="str">
            <v/>
          </cell>
          <cell r="R322" t="str">
            <v>-</v>
          </cell>
        </row>
        <row r="323">
          <cell r="A323">
            <v>358140</v>
          </cell>
          <cell r="B323">
            <v>226</v>
          </cell>
          <cell r="C323">
            <v>4014</v>
          </cell>
          <cell r="D323" t="str">
            <v>165/80 R15</v>
          </cell>
          <cell r="E323">
            <v>87</v>
          </cell>
          <cell r="F323" t="str">
            <v>T</v>
          </cell>
          <cell r="G323" t="str">
            <v>CT22</v>
          </cell>
          <cell r="H323">
            <v>358140</v>
          </cell>
          <cell r="I323">
            <v>52882</v>
          </cell>
          <cell r="J323">
            <v>0</v>
          </cell>
          <cell r="K323" t="str">
            <v>P4</v>
          </cell>
          <cell r="L323" t="str">
            <v>OORW</v>
          </cell>
          <cell r="M323" t="str">
            <v>O</v>
          </cell>
          <cell r="N323" t="str">
            <v>O</v>
          </cell>
          <cell r="O323" t="str">
            <v>R</v>
          </cell>
          <cell r="P323" t="str">
            <v>W</v>
          </cell>
          <cell r="Q323" t="str">
            <v/>
          </cell>
          <cell r="R323" t="str">
            <v>-</v>
          </cell>
        </row>
        <row r="324">
          <cell r="A324">
            <v>358162</v>
          </cell>
          <cell r="B324">
            <v>745</v>
          </cell>
          <cell r="C324">
            <v>4021</v>
          </cell>
          <cell r="D324" t="str">
            <v>195/55 R16</v>
          </cell>
          <cell r="E324">
            <v>91</v>
          </cell>
          <cell r="F324" t="str">
            <v>V</v>
          </cell>
          <cell r="G324" t="str">
            <v>ECOCONTACT 6 VW XL</v>
          </cell>
          <cell r="H324">
            <v>358162</v>
          </cell>
          <cell r="I324">
            <v>52714</v>
          </cell>
          <cell r="J324">
            <v>39</v>
          </cell>
          <cell r="K324" t="str">
            <v>P8</v>
          </cell>
          <cell r="L324" t="str">
            <v>OOAO</v>
          </cell>
          <cell r="M324" t="str">
            <v>O</v>
          </cell>
          <cell r="N324" t="str">
            <v>O</v>
          </cell>
          <cell r="O324" t="str">
            <v>A</v>
          </cell>
          <cell r="P324" t="str">
            <v>O</v>
          </cell>
          <cell r="Q324" t="str">
            <v/>
          </cell>
          <cell r="R324" t="str">
            <v>PR-INS</v>
          </cell>
        </row>
        <row r="325">
          <cell r="A325">
            <v>358222</v>
          </cell>
          <cell r="B325">
            <v>534</v>
          </cell>
          <cell r="C325">
            <v>5087</v>
          </cell>
          <cell r="D325" t="str">
            <v>155/60 R15</v>
          </cell>
          <cell r="E325">
            <v>74</v>
          </cell>
          <cell r="F325" t="str">
            <v>T</v>
          </cell>
          <cell r="G325" t="str">
            <v>CEC3</v>
          </cell>
          <cell r="H325">
            <v>358222</v>
          </cell>
          <cell r="I325">
            <v>52531</v>
          </cell>
          <cell r="J325">
            <v>0</v>
          </cell>
          <cell r="K325" t="str">
            <v>P4</v>
          </cell>
          <cell r="L325" t="str">
            <v>GAR</v>
          </cell>
          <cell r="M325" t="str">
            <v>G</v>
          </cell>
          <cell r="N325" t="str">
            <v>A</v>
          </cell>
          <cell r="O325" t="str">
            <v>R</v>
          </cell>
          <cell r="P325" t="str">
            <v/>
          </cell>
          <cell r="Q325" t="str">
            <v/>
          </cell>
          <cell r="R325" t="str">
            <v>-</v>
          </cell>
        </row>
        <row r="326">
          <cell r="A326">
            <v>358236</v>
          </cell>
          <cell r="B326">
            <v>685</v>
          </cell>
          <cell r="C326">
            <v>6036</v>
          </cell>
          <cell r="D326" t="str">
            <v>235/50 R19</v>
          </cell>
          <cell r="E326">
            <v>103</v>
          </cell>
          <cell r="F326" t="str">
            <v>Y</v>
          </cell>
          <cell r="G326" t="str">
            <v>PC6 XL</v>
          </cell>
          <cell r="H326">
            <v>358236</v>
          </cell>
          <cell r="I326">
            <v>52682</v>
          </cell>
          <cell r="J326">
            <v>2</v>
          </cell>
          <cell r="K326" t="str">
            <v>-</v>
          </cell>
          <cell r="L326" t="str">
            <v>WGYYA</v>
          </cell>
          <cell r="M326" t="str">
            <v>W</v>
          </cell>
          <cell r="N326" t="str">
            <v>G</v>
          </cell>
          <cell r="O326" t="str">
            <v>Y</v>
          </cell>
          <cell r="P326" t="str">
            <v>Y</v>
          </cell>
          <cell r="Q326" t="str">
            <v>A</v>
          </cell>
          <cell r="R326" t="str">
            <v>-</v>
          </cell>
        </row>
        <row r="327">
          <cell r="A327">
            <v>358470</v>
          </cell>
          <cell r="B327">
            <v>128</v>
          </cell>
          <cell r="C327">
            <v>4033</v>
          </cell>
          <cell r="D327" t="str">
            <v>235/45 R18</v>
          </cell>
          <cell r="E327">
            <v>98</v>
          </cell>
          <cell r="F327" t="str">
            <v>W</v>
          </cell>
          <cell r="G327" t="str">
            <v>PC6 XL</v>
          </cell>
          <cell r="H327">
            <v>358470</v>
          </cell>
          <cell r="I327">
            <v>52128</v>
          </cell>
          <cell r="J327">
            <v>40</v>
          </cell>
          <cell r="K327" t="str">
            <v>P7</v>
          </cell>
          <cell r="L327" t="str">
            <v>GGGA</v>
          </cell>
          <cell r="M327" t="str">
            <v>G</v>
          </cell>
          <cell r="N327" t="str">
            <v>G</v>
          </cell>
          <cell r="O327" t="str">
            <v>G</v>
          </cell>
          <cell r="P327" t="str">
            <v>A</v>
          </cell>
          <cell r="Q327" t="str">
            <v/>
          </cell>
          <cell r="R327" t="str">
            <v>PB-1HB</v>
          </cell>
        </row>
        <row r="328">
          <cell r="A328">
            <v>358484</v>
          </cell>
          <cell r="B328">
            <v>689</v>
          </cell>
          <cell r="C328">
            <v>3085</v>
          </cell>
          <cell r="D328" t="str">
            <v>225/55 R19</v>
          </cell>
          <cell r="E328">
            <v>99</v>
          </cell>
          <cell r="F328" t="str">
            <v>Y</v>
          </cell>
          <cell r="G328" t="str">
            <v>PC6</v>
          </cell>
          <cell r="H328">
            <v>358484</v>
          </cell>
          <cell r="I328">
            <v>52669</v>
          </cell>
          <cell r="J328">
            <v>0</v>
          </cell>
          <cell r="K328" t="str">
            <v>P4</v>
          </cell>
          <cell r="L328" t="str">
            <v>GWWAR</v>
          </cell>
          <cell r="M328" t="str">
            <v>G</v>
          </cell>
          <cell r="N328" t="str">
            <v>W</v>
          </cell>
          <cell r="O328" t="str">
            <v>W</v>
          </cell>
          <cell r="P328" t="str">
            <v>A</v>
          </cell>
          <cell r="Q328" t="str">
            <v>R</v>
          </cell>
          <cell r="R328" t="str">
            <v>-</v>
          </cell>
        </row>
        <row r="329">
          <cell r="A329">
            <v>358499</v>
          </cell>
          <cell r="B329">
            <v>557</v>
          </cell>
          <cell r="C329">
            <v>3055</v>
          </cell>
          <cell r="D329" t="str">
            <v>205/45 R17</v>
          </cell>
          <cell r="E329">
            <v>88</v>
          </cell>
          <cell r="F329" t="str">
            <v>H</v>
          </cell>
          <cell r="G329" t="str">
            <v>ECOCONTACT 6 REN XL</v>
          </cell>
          <cell r="H329">
            <v>358499</v>
          </cell>
          <cell r="I329">
            <v>52457</v>
          </cell>
          <cell r="J329">
            <v>27</v>
          </cell>
          <cell r="K329" t="str">
            <v>P4</v>
          </cell>
          <cell r="L329" t="str">
            <v>WG</v>
          </cell>
          <cell r="M329" t="str">
            <v>W</v>
          </cell>
          <cell r="N329" t="str">
            <v>G</v>
          </cell>
          <cell r="O329" t="str">
            <v/>
          </cell>
          <cell r="P329" t="str">
            <v/>
          </cell>
          <cell r="Q329" t="str">
            <v/>
          </cell>
          <cell r="R329" t="str">
            <v>PR-1HH</v>
          </cell>
        </row>
        <row r="330">
          <cell r="A330">
            <v>358617</v>
          </cell>
          <cell r="B330">
            <v>376</v>
          </cell>
          <cell r="C330">
            <v>2090</v>
          </cell>
          <cell r="D330" t="str">
            <v>205/50 R16</v>
          </cell>
          <cell r="E330">
            <v>87</v>
          </cell>
          <cell r="F330" t="str">
            <v>W</v>
          </cell>
          <cell r="G330" t="str">
            <v>PC6</v>
          </cell>
          <cell r="H330">
            <v>358617</v>
          </cell>
          <cell r="I330">
            <v>52375</v>
          </cell>
          <cell r="J330">
            <v>0</v>
          </cell>
          <cell r="K330" t="str">
            <v>P7</v>
          </cell>
          <cell r="L330" t="str">
            <v>YYG</v>
          </cell>
          <cell r="M330" t="str">
            <v>Y</v>
          </cell>
          <cell r="N330" t="str">
            <v>Y</v>
          </cell>
          <cell r="O330" t="str">
            <v>G</v>
          </cell>
          <cell r="P330" t="str">
            <v/>
          </cell>
          <cell r="Q330" t="str">
            <v/>
          </cell>
          <cell r="R330" t="str">
            <v>-</v>
          </cell>
        </row>
        <row r="331">
          <cell r="A331">
            <v>358620</v>
          </cell>
          <cell r="B331">
            <v>248</v>
          </cell>
          <cell r="C331">
            <v>158</v>
          </cell>
          <cell r="D331" t="str">
            <v>205/45 R16</v>
          </cell>
          <cell r="E331">
            <v>83</v>
          </cell>
          <cell r="F331" t="str">
            <v>W</v>
          </cell>
          <cell r="G331" t="str">
            <v>PC6</v>
          </cell>
          <cell r="H331">
            <v>358620</v>
          </cell>
          <cell r="I331">
            <v>52247</v>
          </cell>
          <cell r="J331">
            <v>0</v>
          </cell>
          <cell r="K331" t="str">
            <v>P4</v>
          </cell>
          <cell r="L331" t="str">
            <v>WRAG</v>
          </cell>
          <cell r="M331" t="str">
            <v>W</v>
          </cell>
          <cell r="N331" t="str">
            <v>R</v>
          </cell>
          <cell r="O331" t="str">
            <v>A</v>
          </cell>
          <cell r="P331" t="str">
            <v>G</v>
          </cell>
          <cell r="Q331" t="str">
            <v/>
          </cell>
          <cell r="R331" t="str">
            <v>-</v>
          </cell>
        </row>
        <row r="332">
          <cell r="A332">
            <v>358790</v>
          </cell>
          <cell r="B332">
            <v>629</v>
          </cell>
          <cell r="C332">
            <v>6008</v>
          </cell>
          <cell r="D332" t="str">
            <v>215/65 R16</v>
          </cell>
          <cell r="E332">
            <v>98</v>
          </cell>
          <cell r="F332" t="str">
            <v>H</v>
          </cell>
          <cell r="G332" t="str">
            <v>ECOCONTACT 6 RENAULT</v>
          </cell>
          <cell r="H332">
            <v>358790</v>
          </cell>
          <cell r="I332">
            <v>52628</v>
          </cell>
          <cell r="J332">
            <v>27</v>
          </cell>
          <cell r="K332" t="str">
            <v>P7</v>
          </cell>
          <cell r="L332" t="str">
            <v>AAOWW</v>
          </cell>
          <cell r="M332" t="str">
            <v>A</v>
          </cell>
          <cell r="N332" t="str">
            <v>A</v>
          </cell>
          <cell r="O332" t="str">
            <v>O</v>
          </cell>
          <cell r="P332" t="str">
            <v>W</v>
          </cell>
          <cell r="Q332" t="str">
            <v>W</v>
          </cell>
          <cell r="R332" t="str">
            <v>PR-1HH</v>
          </cell>
        </row>
        <row r="333">
          <cell r="A333">
            <v>358801</v>
          </cell>
          <cell r="B333">
            <v>240</v>
          </cell>
          <cell r="C333">
            <v>2094</v>
          </cell>
          <cell r="D333" t="str">
            <v>205/55 R16</v>
          </cell>
          <cell r="E333">
            <v>94</v>
          </cell>
          <cell r="F333" t="str">
            <v>H</v>
          </cell>
          <cell r="G333" t="str">
            <v>ECOCONTACT 6 XL</v>
          </cell>
          <cell r="H333">
            <v>358801</v>
          </cell>
          <cell r="I333">
            <v>52240</v>
          </cell>
          <cell r="J333">
            <v>0</v>
          </cell>
          <cell r="K333" t="str">
            <v>P4</v>
          </cell>
          <cell r="L333" t="str">
            <v>GGWO</v>
          </cell>
          <cell r="M333" t="str">
            <v>G</v>
          </cell>
          <cell r="N333" t="str">
            <v>G</v>
          </cell>
          <cell r="O333" t="str">
            <v>W</v>
          </cell>
          <cell r="P333" t="str">
            <v>O</v>
          </cell>
          <cell r="Q333" t="str">
            <v/>
          </cell>
          <cell r="R333" t="str">
            <v>-</v>
          </cell>
        </row>
        <row r="334">
          <cell r="A334">
            <v>358817</v>
          </cell>
          <cell r="B334">
            <v>88</v>
          </cell>
          <cell r="C334">
            <v>2072</v>
          </cell>
          <cell r="D334" t="str">
            <v>195/50 R15</v>
          </cell>
          <cell r="E334">
            <v>86</v>
          </cell>
          <cell r="F334" t="str">
            <v>H</v>
          </cell>
          <cell r="G334" t="str">
            <v>ALLSEASON XL</v>
          </cell>
          <cell r="H334">
            <v>358817</v>
          </cell>
          <cell r="I334">
            <v>52098</v>
          </cell>
          <cell r="J334">
            <v>0</v>
          </cell>
          <cell r="K334" t="str">
            <v>P4</v>
          </cell>
          <cell r="L334" t="str">
            <v>ARY</v>
          </cell>
          <cell r="M334" t="str">
            <v>A</v>
          </cell>
          <cell r="N334" t="str">
            <v>R</v>
          </cell>
          <cell r="O334" t="str">
            <v>Y</v>
          </cell>
          <cell r="P334" t="str">
            <v/>
          </cell>
          <cell r="Q334" t="str">
            <v/>
          </cell>
          <cell r="R334" t="str">
            <v>-</v>
          </cell>
        </row>
        <row r="335">
          <cell r="A335">
            <v>358829</v>
          </cell>
          <cell r="B335">
            <v>741</v>
          </cell>
          <cell r="C335">
            <v>6019</v>
          </cell>
          <cell r="D335" t="str">
            <v>215/55 R18</v>
          </cell>
          <cell r="E335">
            <v>95</v>
          </cell>
          <cell r="F335" t="str">
            <v>H</v>
          </cell>
          <cell r="G335" t="str">
            <v>PC6 RENAULT</v>
          </cell>
          <cell r="H335">
            <v>358829</v>
          </cell>
          <cell r="I335">
            <v>52712</v>
          </cell>
          <cell r="J335">
            <v>27</v>
          </cell>
          <cell r="K335" t="str">
            <v>P4</v>
          </cell>
          <cell r="L335" t="str">
            <v>AAAWO</v>
          </cell>
          <cell r="M335" t="str">
            <v>A</v>
          </cell>
          <cell r="N335" t="str">
            <v>A</v>
          </cell>
          <cell r="O335" t="str">
            <v>A</v>
          </cell>
          <cell r="P335" t="str">
            <v>W</v>
          </cell>
          <cell r="Q335" t="str">
            <v>O</v>
          </cell>
          <cell r="R335" t="str">
            <v>PR-1HH</v>
          </cell>
        </row>
        <row r="336">
          <cell r="A336">
            <v>358838</v>
          </cell>
          <cell r="B336">
            <v>777</v>
          </cell>
          <cell r="C336">
            <v>72</v>
          </cell>
          <cell r="D336" t="str">
            <v>205/60 R16</v>
          </cell>
          <cell r="E336">
            <v>96</v>
          </cell>
          <cell r="F336" t="str">
            <v>H</v>
          </cell>
          <cell r="G336" t="str">
            <v>PC6 XL</v>
          </cell>
          <cell r="H336">
            <v>358838</v>
          </cell>
          <cell r="I336">
            <v>52767</v>
          </cell>
          <cell r="J336">
            <v>0</v>
          </cell>
          <cell r="K336" t="str">
            <v>P4</v>
          </cell>
          <cell r="L336" t="str">
            <v>RG</v>
          </cell>
          <cell r="M336" t="str">
            <v>R</v>
          </cell>
          <cell r="N336" t="str">
            <v>G</v>
          </cell>
          <cell r="O336" t="str">
            <v/>
          </cell>
          <cell r="P336" t="str">
            <v/>
          </cell>
          <cell r="Q336" t="str">
            <v/>
          </cell>
          <cell r="R336" t="str">
            <v>PR-1HH</v>
          </cell>
        </row>
        <row r="337">
          <cell r="A337">
            <v>358944</v>
          </cell>
          <cell r="B337">
            <v>577</v>
          </cell>
          <cell r="C337">
            <v>2014</v>
          </cell>
          <cell r="D337" t="str">
            <v>235/55 R17</v>
          </cell>
          <cell r="E337">
            <v>103</v>
          </cell>
          <cell r="F337" t="str">
            <v>W</v>
          </cell>
          <cell r="G337" t="str">
            <v>PC6 MO MB XL</v>
          </cell>
          <cell r="H337">
            <v>358944</v>
          </cell>
          <cell r="I337">
            <v>52567</v>
          </cell>
          <cell r="J337">
            <v>10</v>
          </cell>
          <cell r="K337" t="str">
            <v>P4</v>
          </cell>
          <cell r="L337" t="str">
            <v>GGGRG</v>
          </cell>
          <cell r="M337" t="str">
            <v>G</v>
          </cell>
          <cell r="N337" t="str">
            <v>G</v>
          </cell>
          <cell r="O337" t="str">
            <v>G</v>
          </cell>
          <cell r="P337" t="str">
            <v>R</v>
          </cell>
          <cell r="Q337" t="str">
            <v>G</v>
          </cell>
          <cell r="R337" t="str">
            <v>PB-1HB</v>
          </cell>
        </row>
        <row r="338">
          <cell r="A338">
            <v>358985</v>
          </cell>
          <cell r="B338">
            <v>218</v>
          </cell>
          <cell r="C338">
            <v>4036</v>
          </cell>
          <cell r="D338" t="str">
            <v>205/55 R17</v>
          </cell>
          <cell r="E338">
            <v>95</v>
          </cell>
          <cell r="F338" t="str">
            <v>H</v>
          </cell>
          <cell r="G338" t="str">
            <v>ECOCONTACT 6 RENAULT XL</v>
          </cell>
          <cell r="H338">
            <v>358985</v>
          </cell>
          <cell r="I338">
            <v>52218</v>
          </cell>
          <cell r="J338">
            <v>27</v>
          </cell>
          <cell r="K338" t="str">
            <v>P4</v>
          </cell>
          <cell r="L338" t="str">
            <v>ARYG</v>
          </cell>
          <cell r="M338" t="str">
            <v>A</v>
          </cell>
          <cell r="N338" t="str">
            <v>R</v>
          </cell>
          <cell r="O338" t="str">
            <v>Y</v>
          </cell>
          <cell r="P338" t="str">
            <v>G</v>
          </cell>
          <cell r="Q338" t="str">
            <v/>
          </cell>
          <cell r="R338" t="str">
            <v>PR-1HH</v>
          </cell>
        </row>
        <row r="339">
          <cell r="A339">
            <v>359067</v>
          </cell>
          <cell r="B339">
            <v>266</v>
          </cell>
          <cell r="C339">
            <v>3099</v>
          </cell>
          <cell r="D339" t="str">
            <v>235/45 R20</v>
          </cell>
          <cell r="E339">
            <v>100</v>
          </cell>
          <cell r="F339" t="str">
            <v>W</v>
          </cell>
          <cell r="G339" t="str">
            <v>PC6 XL</v>
          </cell>
          <cell r="H339">
            <v>359067</v>
          </cell>
          <cell r="I339">
            <v>52266</v>
          </cell>
          <cell r="J339">
            <v>0</v>
          </cell>
          <cell r="K339" t="str">
            <v>P8</v>
          </cell>
          <cell r="L339" t="str">
            <v>AAW</v>
          </cell>
          <cell r="M339" t="str">
            <v>A</v>
          </cell>
          <cell r="N339" t="str">
            <v>A</v>
          </cell>
          <cell r="O339" t="str">
            <v>W</v>
          </cell>
          <cell r="P339" t="str">
            <v/>
          </cell>
          <cell r="Q339" t="str">
            <v/>
          </cell>
          <cell r="R339" t="str">
            <v>-</v>
          </cell>
        </row>
        <row r="340">
          <cell r="A340">
            <v>359497</v>
          </cell>
          <cell r="B340">
            <v>24</v>
          </cell>
          <cell r="C340">
            <v>5155</v>
          </cell>
          <cell r="D340" t="str">
            <v>235/55 R19</v>
          </cell>
          <cell r="E340">
            <v>101</v>
          </cell>
          <cell r="F340" t="str">
            <v>W</v>
          </cell>
          <cell r="G340" t="str">
            <v>CCC LX SPORT MASERATI</v>
          </cell>
          <cell r="H340">
            <v>359497</v>
          </cell>
          <cell r="I340">
            <v>52024</v>
          </cell>
          <cell r="J340">
            <v>11</v>
          </cell>
          <cell r="K340" t="str">
            <v>R2</v>
          </cell>
          <cell r="L340" t="str">
            <v>OWOO</v>
          </cell>
          <cell r="M340" t="str">
            <v>O</v>
          </cell>
          <cell r="N340" t="str">
            <v>W</v>
          </cell>
          <cell r="O340" t="str">
            <v>O</v>
          </cell>
          <cell r="P340" t="str">
            <v>O</v>
          </cell>
          <cell r="Q340" t="str">
            <v/>
          </cell>
          <cell r="R340" t="str">
            <v>PR-1HH</v>
          </cell>
        </row>
        <row r="341">
          <cell r="A341">
            <v>361004</v>
          </cell>
          <cell r="B341">
            <v>571</v>
          </cell>
          <cell r="C341">
            <v>2051</v>
          </cell>
          <cell r="D341" t="str">
            <v>195/60 R16</v>
          </cell>
          <cell r="E341">
            <v>89</v>
          </cell>
          <cell r="F341" t="str">
            <v>H</v>
          </cell>
          <cell r="G341" t="str">
            <v>ALLSEASONEXPERT</v>
          </cell>
          <cell r="H341">
            <v>361004</v>
          </cell>
          <cell r="I341">
            <v>52571</v>
          </cell>
          <cell r="J341">
            <v>0</v>
          </cell>
          <cell r="K341" t="str">
            <v>P4</v>
          </cell>
          <cell r="L341" t="str">
            <v>AWAO</v>
          </cell>
          <cell r="M341" t="str">
            <v>A</v>
          </cell>
          <cell r="N341" t="str">
            <v>W</v>
          </cell>
          <cell r="O341" t="str">
            <v>A</v>
          </cell>
          <cell r="P341" t="str">
            <v>O</v>
          </cell>
          <cell r="Q341" t="str">
            <v/>
          </cell>
          <cell r="R341" t="str">
            <v>-</v>
          </cell>
        </row>
        <row r="342">
          <cell r="A342">
            <v>361005</v>
          </cell>
          <cell r="B342">
            <v>618</v>
          </cell>
          <cell r="C342">
            <v>5178</v>
          </cell>
          <cell r="D342" t="str">
            <v>215/45 R16</v>
          </cell>
          <cell r="E342">
            <v>90</v>
          </cell>
          <cell r="F342" t="str">
            <v>V</v>
          </cell>
          <cell r="G342" t="str">
            <v>ALLSEASONEXPERT 2 XL</v>
          </cell>
          <cell r="H342">
            <v>361005</v>
          </cell>
          <cell r="I342">
            <v>52658</v>
          </cell>
          <cell r="J342">
            <v>0</v>
          </cell>
          <cell r="K342" t="str">
            <v>P4</v>
          </cell>
          <cell r="L342" t="str">
            <v>WWOOA</v>
          </cell>
          <cell r="M342" t="str">
            <v>W</v>
          </cell>
          <cell r="N342" t="str">
            <v>W</v>
          </cell>
          <cell r="O342" t="str">
            <v>O</v>
          </cell>
          <cell r="P342" t="str">
            <v>O</v>
          </cell>
          <cell r="Q342" t="str">
            <v>A</v>
          </cell>
          <cell r="R342" t="str">
            <v>-</v>
          </cell>
        </row>
        <row r="343">
          <cell r="A343">
            <v>361006</v>
          </cell>
          <cell r="B343">
            <v>837</v>
          </cell>
          <cell r="C343">
            <v>4075</v>
          </cell>
          <cell r="D343" t="str">
            <v>215/55 R17</v>
          </cell>
          <cell r="E343">
            <v>98</v>
          </cell>
          <cell r="F343" t="str">
            <v>W</v>
          </cell>
          <cell r="G343" t="str">
            <v>ALLSEASONEXPERT 2 XL</v>
          </cell>
          <cell r="H343">
            <v>361006</v>
          </cell>
          <cell r="I343">
            <v>52601</v>
          </cell>
          <cell r="J343">
            <v>0</v>
          </cell>
          <cell r="K343" t="str">
            <v>P4</v>
          </cell>
          <cell r="L343" t="str">
            <v>GGOGW</v>
          </cell>
          <cell r="M343" t="str">
            <v>G</v>
          </cell>
          <cell r="N343" t="str">
            <v>G</v>
          </cell>
          <cell r="O343" t="str">
            <v>O</v>
          </cell>
          <cell r="P343" t="str">
            <v>G</v>
          </cell>
          <cell r="Q343" t="str">
            <v>W</v>
          </cell>
          <cell r="R343" t="str">
            <v>-</v>
          </cell>
        </row>
        <row r="344">
          <cell r="A344">
            <v>361007</v>
          </cell>
          <cell r="B344">
            <v>737</v>
          </cell>
          <cell r="C344">
            <v>2017</v>
          </cell>
          <cell r="D344" t="str">
            <v>215/50 R17</v>
          </cell>
          <cell r="E344">
            <v>95</v>
          </cell>
          <cell r="F344" t="str">
            <v>W</v>
          </cell>
          <cell r="G344" t="str">
            <v>ALLSEASONEXPERT 2 XL</v>
          </cell>
          <cell r="H344">
            <v>361007</v>
          </cell>
          <cell r="I344">
            <v>52732</v>
          </cell>
          <cell r="J344">
            <v>0</v>
          </cell>
          <cell r="K344" t="str">
            <v>P4</v>
          </cell>
          <cell r="L344" t="str">
            <v>GGGRY</v>
          </cell>
          <cell r="M344" t="str">
            <v>G</v>
          </cell>
          <cell r="N344" t="str">
            <v>G</v>
          </cell>
          <cell r="O344" t="str">
            <v>G</v>
          </cell>
          <cell r="P344" t="str">
            <v>R</v>
          </cell>
          <cell r="Q344" t="str">
            <v>Y</v>
          </cell>
          <cell r="R344" t="str">
            <v>-</v>
          </cell>
        </row>
        <row r="345">
          <cell r="A345">
            <v>361012</v>
          </cell>
          <cell r="B345">
            <v>884</v>
          </cell>
          <cell r="C345">
            <v>4071</v>
          </cell>
          <cell r="D345" t="str">
            <v>195/45 R16</v>
          </cell>
          <cell r="E345">
            <v>84</v>
          </cell>
          <cell r="F345" t="str">
            <v>V</v>
          </cell>
          <cell r="G345" t="str">
            <v>RAINSPORT 5 XL</v>
          </cell>
          <cell r="H345">
            <v>361012</v>
          </cell>
          <cell r="I345">
            <v>52484</v>
          </cell>
          <cell r="J345">
            <v>0</v>
          </cell>
          <cell r="K345" t="str">
            <v>P8</v>
          </cell>
          <cell r="L345" t="str">
            <v>YAWOR</v>
          </cell>
          <cell r="M345" t="str">
            <v>Y</v>
          </cell>
          <cell r="N345" t="str">
            <v>A</v>
          </cell>
          <cell r="O345" t="str">
            <v>W</v>
          </cell>
          <cell r="P345" t="str">
            <v>O</v>
          </cell>
          <cell r="Q345" t="str">
            <v>R</v>
          </cell>
          <cell r="R345" t="str">
            <v>-</v>
          </cell>
        </row>
        <row r="346">
          <cell r="A346">
            <v>361014</v>
          </cell>
          <cell r="B346">
            <v>111</v>
          </cell>
          <cell r="C346">
            <v>5007</v>
          </cell>
          <cell r="D346" t="str">
            <v>195/50 R16</v>
          </cell>
          <cell r="E346">
            <v>88</v>
          </cell>
          <cell r="F346" t="str">
            <v>V</v>
          </cell>
          <cell r="G346" t="str">
            <v>RAINSPORT 5 XL</v>
          </cell>
          <cell r="H346">
            <v>361014</v>
          </cell>
          <cell r="I346">
            <v>52100</v>
          </cell>
          <cell r="J346">
            <v>0</v>
          </cell>
          <cell r="K346" t="str">
            <v>P8</v>
          </cell>
          <cell r="L346" t="str">
            <v>GOAW</v>
          </cell>
          <cell r="M346" t="str">
            <v>G</v>
          </cell>
          <cell r="N346" t="str">
            <v>O</v>
          </cell>
          <cell r="O346" t="str">
            <v>A</v>
          </cell>
          <cell r="P346" t="str">
            <v>W</v>
          </cell>
          <cell r="Q346" t="str">
            <v/>
          </cell>
          <cell r="R346" t="str">
            <v>-</v>
          </cell>
        </row>
        <row r="347">
          <cell r="A347">
            <v>361019</v>
          </cell>
          <cell r="B347">
            <v>26</v>
          </cell>
          <cell r="C347">
            <v>241</v>
          </cell>
          <cell r="D347" t="str">
            <v>205/40 R17</v>
          </cell>
          <cell r="E347">
            <v>84</v>
          </cell>
          <cell r="F347" t="str">
            <v>W</v>
          </cell>
          <cell r="G347" t="str">
            <v>RAINSPORT 5 XL</v>
          </cell>
          <cell r="H347">
            <v>361019</v>
          </cell>
          <cell r="I347">
            <v>52026</v>
          </cell>
          <cell r="J347">
            <v>0</v>
          </cell>
          <cell r="K347" t="str">
            <v>P4</v>
          </cell>
          <cell r="L347" t="str">
            <v>ARYW</v>
          </cell>
          <cell r="M347" t="str">
            <v>A</v>
          </cell>
          <cell r="N347" t="str">
            <v>R</v>
          </cell>
          <cell r="O347" t="str">
            <v>Y</v>
          </cell>
          <cell r="P347" t="str">
            <v>W</v>
          </cell>
          <cell r="Q347" t="str">
            <v/>
          </cell>
          <cell r="R347" t="str">
            <v>-</v>
          </cell>
        </row>
        <row r="348">
          <cell r="A348">
            <v>361020</v>
          </cell>
          <cell r="B348">
            <v>766</v>
          </cell>
          <cell r="C348">
            <v>2387</v>
          </cell>
          <cell r="D348" t="str">
            <v>205/45 R16</v>
          </cell>
          <cell r="E348">
            <v>83</v>
          </cell>
          <cell r="F348" t="str">
            <v>V</v>
          </cell>
          <cell r="G348" t="str">
            <v>RAINSPORT 5</v>
          </cell>
          <cell r="H348">
            <v>361020</v>
          </cell>
          <cell r="I348">
            <v>52754</v>
          </cell>
          <cell r="J348">
            <v>0</v>
          </cell>
          <cell r="K348" t="str">
            <v>P4</v>
          </cell>
          <cell r="L348" t="str">
            <v>AOA</v>
          </cell>
          <cell r="M348" t="str">
            <v>A</v>
          </cell>
          <cell r="N348" t="str">
            <v>O</v>
          </cell>
          <cell r="O348" t="str">
            <v>A</v>
          </cell>
          <cell r="P348" t="str">
            <v/>
          </cell>
          <cell r="Q348" t="str">
            <v/>
          </cell>
          <cell r="R348" t="str">
            <v>-</v>
          </cell>
        </row>
        <row r="349">
          <cell r="A349">
            <v>361021</v>
          </cell>
          <cell r="B349">
            <v>795</v>
          </cell>
          <cell r="C349">
            <v>2487</v>
          </cell>
          <cell r="D349" t="str">
            <v>205/45 R16</v>
          </cell>
          <cell r="E349">
            <v>83</v>
          </cell>
          <cell r="F349" t="str">
            <v>W</v>
          </cell>
          <cell r="G349" t="str">
            <v>RAINSPORT 5</v>
          </cell>
          <cell r="H349">
            <v>361021</v>
          </cell>
          <cell r="I349">
            <v>52755</v>
          </cell>
          <cell r="J349">
            <v>0</v>
          </cell>
          <cell r="K349" t="str">
            <v>P4</v>
          </cell>
          <cell r="L349" t="str">
            <v>AGWY</v>
          </cell>
          <cell r="M349" t="str">
            <v>A</v>
          </cell>
          <cell r="N349" t="str">
            <v>G</v>
          </cell>
          <cell r="O349" t="str">
            <v>W</v>
          </cell>
          <cell r="P349" t="str">
            <v>Y</v>
          </cell>
          <cell r="Q349" t="str">
            <v/>
          </cell>
          <cell r="R349" t="str">
            <v>-</v>
          </cell>
        </row>
        <row r="350">
          <cell r="A350">
            <v>361022</v>
          </cell>
          <cell r="B350">
            <v>757</v>
          </cell>
          <cell r="C350">
            <v>2587</v>
          </cell>
          <cell r="D350" t="str">
            <v>205/45 R16</v>
          </cell>
          <cell r="E350">
            <v>87</v>
          </cell>
          <cell r="F350" t="str">
            <v>W</v>
          </cell>
          <cell r="G350" t="str">
            <v>RAINSPORT 5 XL</v>
          </cell>
          <cell r="H350">
            <v>361022</v>
          </cell>
          <cell r="I350">
            <v>52756</v>
          </cell>
          <cell r="J350">
            <v>0</v>
          </cell>
          <cell r="K350" t="str">
            <v>P4</v>
          </cell>
          <cell r="L350" t="str">
            <v>RAAO</v>
          </cell>
          <cell r="M350" t="str">
            <v>R</v>
          </cell>
          <cell r="N350" t="str">
            <v>A</v>
          </cell>
          <cell r="O350" t="str">
            <v>A</v>
          </cell>
          <cell r="P350" t="str">
            <v>O</v>
          </cell>
          <cell r="Q350" t="str">
            <v/>
          </cell>
          <cell r="R350" t="str">
            <v>-</v>
          </cell>
        </row>
        <row r="351">
          <cell r="A351">
            <v>361023</v>
          </cell>
          <cell r="B351">
            <v>780</v>
          </cell>
          <cell r="C351">
            <v>2187</v>
          </cell>
          <cell r="D351" t="str">
            <v>205/45 R17</v>
          </cell>
          <cell r="E351">
            <v>88</v>
          </cell>
          <cell r="F351" t="str">
            <v>V</v>
          </cell>
          <cell r="G351" t="str">
            <v>RAINSPORT 5 XL</v>
          </cell>
          <cell r="H351">
            <v>361023</v>
          </cell>
          <cell r="I351">
            <v>52580</v>
          </cell>
          <cell r="J351">
            <v>0</v>
          </cell>
          <cell r="K351" t="str">
            <v>P4</v>
          </cell>
          <cell r="L351" t="str">
            <v>ARGW</v>
          </cell>
          <cell r="M351" t="str">
            <v>A</v>
          </cell>
          <cell r="N351" t="str">
            <v>R</v>
          </cell>
          <cell r="O351" t="str">
            <v>G</v>
          </cell>
          <cell r="P351" t="str">
            <v>W</v>
          </cell>
          <cell r="Q351" t="str">
            <v/>
          </cell>
          <cell r="R351" t="str">
            <v>-</v>
          </cell>
        </row>
        <row r="352">
          <cell r="A352">
            <v>361024</v>
          </cell>
          <cell r="B352">
            <v>786</v>
          </cell>
          <cell r="C352">
            <v>2287</v>
          </cell>
          <cell r="D352" t="str">
            <v>205/45 R17</v>
          </cell>
          <cell r="E352">
            <v>88</v>
          </cell>
          <cell r="F352" t="str">
            <v>Y</v>
          </cell>
          <cell r="G352" t="str">
            <v>RAINSPORT 5 XL</v>
          </cell>
          <cell r="H352">
            <v>361024</v>
          </cell>
          <cell r="I352">
            <v>52586</v>
          </cell>
          <cell r="J352">
            <v>0</v>
          </cell>
          <cell r="K352" t="str">
            <v>P4</v>
          </cell>
          <cell r="L352" t="str">
            <v>GAWO</v>
          </cell>
          <cell r="M352" t="str">
            <v>G</v>
          </cell>
          <cell r="N352" t="str">
            <v>A</v>
          </cell>
          <cell r="O352" t="str">
            <v>W</v>
          </cell>
          <cell r="P352" t="str">
            <v>O</v>
          </cell>
          <cell r="Q352" t="str">
            <v/>
          </cell>
          <cell r="R352" t="str">
            <v>-</v>
          </cell>
        </row>
        <row r="353">
          <cell r="A353">
            <v>361026</v>
          </cell>
          <cell r="B353" t="str">
            <v>-</v>
          </cell>
          <cell r="C353">
            <v>5040</v>
          </cell>
          <cell r="D353" t="str">
            <v>205/50 R16</v>
          </cell>
          <cell r="E353">
            <v>87</v>
          </cell>
          <cell r="F353" t="str">
            <v>V</v>
          </cell>
          <cell r="G353" t="str">
            <v>RAINSPORT 5</v>
          </cell>
          <cell r="H353">
            <v>361026</v>
          </cell>
          <cell r="I353">
            <v>52096</v>
          </cell>
          <cell r="J353">
            <v>0</v>
          </cell>
          <cell r="K353" t="str">
            <v>P0</v>
          </cell>
          <cell r="L353" t="str">
            <v>AYW</v>
          </cell>
          <cell r="M353" t="str">
            <v>A</v>
          </cell>
          <cell r="N353" t="str">
            <v>Y</v>
          </cell>
          <cell r="O353" t="str">
            <v>W</v>
          </cell>
          <cell r="P353" t="str">
            <v/>
          </cell>
          <cell r="Q353" t="str">
            <v/>
          </cell>
          <cell r="R353" t="str">
            <v>-</v>
          </cell>
        </row>
        <row r="354">
          <cell r="A354">
            <v>361027</v>
          </cell>
          <cell r="B354">
            <v>40</v>
          </cell>
          <cell r="C354">
            <v>41</v>
          </cell>
          <cell r="D354" t="str">
            <v>205/50 R16</v>
          </cell>
          <cell r="E354">
            <v>87</v>
          </cell>
          <cell r="F354" t="str">
            <v>Y</v>
          </cell>
          <cell r="G354" t="str">
            <v>RAINSPORT 5</v>
          </cell>
          <cell r="H354">
            <v>361027</v>
          </cell>
          <cell r="I354">
            <v>52040</v>
          </cell>
          <cell r="J354">
            <v>0</v>
          </cell>
          <cell r="K354" t="str">
            <v>P4</v>
          </cell>
          <cell r="L354" t="str">
            <v>OWA</v>
          </cell>
          <cell r="M354" t="str">
            <v>O</v>
          </cell>
          <cell r="N354" t="str">
            <v>W</v>
          </cell>
          <cell r="O354" t="str">
            <v>A</v>
          </cell>
          <cell r="P354" t="str">
            <v/>
          </cell>
          <cell r="Q354" t="str">
            <v/>
          </cell>
          <cell r="R354" t="str">
            <v>-</v>
          </cell>
        </row>
        <row r="355">
          <cell r="A355">
            <v>361030</v>
          </cell>
          <cell r="B355">
            <v>609</v>
          </cell>
          <cell r="C355">
            <v>2687</v>
          </cell>
          <cell r="D355" t="str">
            <v>205/55 R15</v>
          </cell>
          <cell r="E355">
            <v>88</v>
          </cell>
          <cell r="F355" t="str">
            <v>V</v>
          </cell>
          <cell r="G355" t="str">
            <v>RAINSPORT 5</v>
          </cell>
          <cell r="H355">
            <v>361030</v>
          </cell>
          <cell r="I355">
            <v>52509</v>
          </cell>
          <cell r="J355">
            <v>0</v>
          </cell>
          <cell r="K355" t="str">
            <v>P4</v>
          </cell>
          <cell r="L355" t="str">
            <v>YYAW</v>
          </cell>
          <cell r="M355" t="str">
            <v>Y</v>
          </cell>
          <cell r="N355" t="str">
            <v>Y</v>
          </cell>
          <cell r="O355" t="str">
            <v>A</v>
          </cell>
          <cell r="P355" t="str">
            <v>W</v>
          </cell>
          <cell r="Q355" t="str">
            <v/>
          </cell>
          <cell r="R355" t="str">
            <v>-</v>
          </cell>
        </row>
        <row r="356">
          <cell r="A356">
            <v>361031</v>
          </cell>
          <cell r="B356">
            <v>803</v>
          </cell>
          <cell r="C356">
            <v>6038</v>
          </cell>
          <cell r="D356" t="str">
            <v>205/55 R16</v>
          </cell>
          <cell r="E356">
            <v>91</v>
          </cell>
          <cell r="F356" t="str">
            <v>H</v>
          </cell>
          <cell r="G356" t="str">
            <v>RAINSPORT 5</v>
          </cell>
          <cell r="H356">
            <v>361031</v>
          </cell>
          <cell r="I356">
            <v>52703</v>
          </cell>
          <cell r="J356">
            <v>0</v>
          </cell>
          <cell r="K356" t="str">
            <v>P4</v>
          </cell>
          <cell r="L356" t="str">
            <v>ARRAO</v>
          </cell>
          <cell r="M356" t="str">
            <v>A</v>
          </cell>
          <cell r="N356" t="str">
            <v>R</v>
          </cell>
          <cell r="O356" t="str">
            <v>R</v>
          </cell>
          <cell r="P356" t="str">
            <v>A</v>
          </cell>
          <cell r="Q356" t="str">
            <v>O</v>
          </cell>
          <cell r="R356" t="str">
            <v>-</v>
          </cell>
        </row>
        <row r="357">
          <cell r="A357">
            <v>361032</v>
          </cell>
          <cell r="B357">
            <v>807</v>
          </cell>
          <cell r="C357">
            <v>6138</v>
          </cell>
          <cell r="D357" t="str">
            <v>205/55 R16</v>
          </cell>
          <cell r="E357">
            <v>91</v>
          </cell>
          <cell r="F357" t="str">
            <v>V</v>
          </cell>
          <cell r="G357" t="str">
            <v>RAINSPORT 5</v>
          </cell>
          <cell r="H357">
            <v>361032</v>
          </cell>
          <cell r="I357">
            <v>52704</v>
          </cell>
          <cell r="J357">
            <v>0</v>
          </cell>
          <cell r="K357" t="str">
            <v>P4</v>
          </cell>
          <cell r="L357" t="str">
            <v>RRAAG</v>
          </cell>
          <cell r="M357" t="str">
            <v>R</v>
          </cell>
          <cell r="N357" t="str">
            <v>R</v>
          </cell>
          <cell r="O357" t="str">
            <v>A</v>
          </cell>
          <cell r="P357" t="str">
            <v>A</v>
          </cell>
          <cell r="Q357" t="str">
            <v>G</v>
          </cell>
          <cell r="R357" t="str">
            <v>-</v>
          </cell>
        </row>
        <row r="358">
          <cell r="A358">
            <v>361035</v>
          </cell>
          <cell r="B358">
            <v>112</v>
          </cell>
          <cell r="C358">
            <v>2391</v>
          </cell>
          <cell r="D358" t="str">
            <v>205/55 R17</v>
          </cell>
          <cell r="E358">
            <v>95</v>
          </cell>
          <cell r="F358" t="str">
            <v>V</v>
          </cell>
          <cell r="G358" t="str">
            <v>RAINSPORT 5 XL</v>
          </cell>
          <cell r="H358">
            <v>361035</v>
          </cell>
          <cell r="I358">
            <v>52112</v>
          </cell>
          <cell r="J358">
            <v>0</v>
          </cell>
          <cell r="K358" t="str">
            <v>P4</v>
          </cell>
          <cell r="L358" t="str">
            <v>AOWYR</v>
          </cell>
          <cell r="M358" t="str">
            <v>A</v>
          </cell>
          <cell r="N358" t="str">
            <v>O</v>
          </cell>
          <cell r="O358" t="str">
            <v>W</v>
          </cell>
          <cell r="P358" t="str">
            <v>Y</v>
          </cell>
          <cell r="Q358" t="str">
            <v>R</v>
          </cell>
          <cell r="R358" t="str">
            <v>-</v>
          </cell>
        </row>
        <row r="359">
          <cell r="A359">
            <v>361037</v>
          </cell>
          <cell r="B359">
            <v>276</v>
          </cell>
          <cell r="C359">
            <v>5034</v>
          </cell>
          <cell r="D359" t="str">
            <v>215/40 R17</v>
          </cell>
          <cell r="E359">
            <v>87</v>
          </cell>
          <cell r="F359" t="str">
            <v>Y</v>
          </cell>
          <cell r="G359" t="str">
            <v>RAINSPORT 5 XL</v>
          </cell>
          <cell r="H359">
            <v>361037</v>
          </cell>
          <cell r="I359">
            <v>52276</v>
          </cell>
          <cell r="J359">
            <v>0</v>
          </cell>
          <cell r="K359" t="str">
            <v>P4</v>
          </cell>
          <cell r="L359" t="str">
            <v>GWRYO</v>
          </cell>
          <cell r="M359" t="str">
            <v>G</v>
          </cell>
          <cell r="N359" t="str">
            <v>W</v>
          </cell>
          <cell r="O359" t="str">
            <v>R</v>
          </cell>
          <cell r="P359" t="str">
            <v>Y</v>
          </cell>
          <cell r="Q359" t="str">
            <v>O</v>
          </cell>
          <cell r="R359" t="str">
            <v>-</v>
          </cell>
        </row>
        <row r="360">
          <cell r="A360">
            <v>361039</v>
          </cell>
          <cell r="B360">
            <v>271</v>
          </cell>
          <cell r="C360">
            <v>6110</v>
          </cell>
          <cell r="D360" t="str">
            <v>215/45 R17</v>
          </cell>
          <cell r="E360">
            <v>87</v>
          </cell>
          <cell r="F360" t="str">
            <v>Y</v>
          </cell>
          <cell r="G360" t="str">
            <v>RAINSPORT 5</v>
          </cell>
          <cell r="H360">
            <v>361039</v>
          </cell>
          <cell r="I360">
            <v>52271</v>
          </cell>
          <cell r="J360">
            <v>0</v>
          </cell>
          <cell r="K360" t="str">
            <v>P4</v>
          </cell>
          <cell r="L360" t="str">
            <v>RRGGG</v>
          </cell>
          <cell r="M360" t="str">
            <v>R</v>
          </cell>
          <cell r="N360" t="str">
            <v>R</v>
          </cell>
          <cell r="O360" t="str">
            <v>G</v>
          </cell>
          <cell r="P360" t="str">
            <v>G</v>
          </cell>
          <cell r="Q360" t="str">
            <v>G</v>
          </cell>
          <cell r="R360" t="str">
            <v>-</v>
          </cell>
        </row>
        <row r="361">
          <cell r="A361">
            <v>361040</v>
          </cell>
          <cell r="B361">
            <v>272</v>
          </cell>
          <cell r="C361">
            <v>6210</v>
          </cell>
          <cell r="D361" t="str">
            <v>215/45 R17</v>
          </cell>
          <cell r="E361">
            <v>91</v>
          </cell>
          <cell r="F361" t="str">
            <v>Y</v>
          </cell>
          <cell r="G361" t="str">
            <v>RAINSPORT 5 XL</v>
          </cell>
          <cell r="H361">
            <v>361040</v>
          </cell>
          <cell r="I361">
            <v>52272</v>
          </cell>
          <cell r="J361">
            <v>0</v>
          </cell>
          <cell r="K361" t="str">
            <v>P4</v>
          </cell>
          <cell r="L361" t="str">
            <v>AGGYY</v>
          </cell>
          <cell r="M361" t="str">
            <v>A</v>
          </cell>
          <cell r="N361" t="str">
            <v>G</v>
          </cell>
          <cell r="O361" t="str">
            <v>G</v>
          </cell>
          <cell r="P361" t="str">
            <v>Y</v>
          </cell>
          <cell r="Q361" t="str">
            <v>Y</v>
          </cell>
          <cell r="R361" t="str">
            <v>-</v>
          </cell>
        </row>
        <row r="362">
          <cell r="A362">
            <v>361042</v>
          </cell>
          <cell r="B362">
            <v>506</v>
          </cell>
          <cell r="C362">
            <v>110</v>
          </cell>
          <cell r="D362" t="str">
            <v>215/50 R17</v>
          </cell>
          <cell r="E362">
            <v>91</v>
          </cell>
          <cell r="F362" t="str">
            <v>Y</v>
          </cell>
          <cell r="G362" t="str">
            <v>RAINSPORT 5</v>
          </cell>
          <cell r="H362">
            <v>361042</v>
          </cell>
          <cell r="I362">
            <v>52510</v>
          </cell>
          <cell r="J362">
            <v>0</v>
          </cell>
          <cell r="K362" t="str">
            <v>P4</v>
          </cell>
          <cell r="L362" t="str">
            <v>YYAO</v>
          </cell>
          <cell r="M362" t="str">
            <v>Y</v>
          </cell>
          <cell r="N362" t="str">
            <v>Y</v>
          </cell>
          <cell r="O362" t="str">
            <v>A</v>
          </cell>
          <cell r="P362" t="str">
            <v>O</v>
          </cell>
          <cell r="Q362" t="str">
            <v/>
          </cell>
          <cell r="R362" t="str">
            <v>-</v>
          </cell>
        </row>
        <row r="363">
          <cell r="A363">
            <v>361043</v>
          </cell>
          <cell r="B363">
            <v>672</v>
          </cell>
          <cell r="C363">
            <v>210</v>
          </cell>
          <cell r="D363" t="str">
            <v>215/50 R17</v>
          </cell>
          <cell r="E363">
            <v>95</v>
          </cell>
          <cell r="F363" t="str">
            <v>Y</v>
          </cell>
          <cell r="G363" t="str">
            <v>RAINSPORT 5 XL</v>
          </cell>
          <cell r="H363">
            <v>361043</v>
          </cell>
          <cell r="I363">
            <v>52642</v>
          </cell>
          <cell r="J363">
            <v>0</v>
          </cell>
          <cell r="K363" t="str">
            <v>P4</v>
          </cell>
          <cell r="L363" t="str">
            <v>GAGA</v>
          </cell>
          <cell r="M363" t="str">
            <v>G</v>
          </cell>
          <cell r="N363" t="str">
            <v>A</v>
          </cell>
          <cell r="O363" t="str">
            <v>G</v>
          </cell>
          <cell r="P363" t="str">
            <v>A</v>
          </cell>
          <cell r="Q363" t="str">
            <v/>
          </cell>
          <cell r="R363" t="str">
            <v>-</v>
          </cell>
        </row>
        <row r="364">
          <cell r="A364">
            <v>361044</v>
          </cell>
          <cell r="B364" t="str">
            <v>-</v>
          </cell>
          <cell r="C364">
            <v>310</v>
          </cell>
          <cell r="D364" t="str">
            <v>215/50 R18</v>
          </cell>
          <cell r="E364">
            <v>96</v>
          </cell>
          <cell r="F364" t="str">
            <v>W</v>
          </cell>
          <cell r="G364" t="str">
            <v>RAINSPORT 5 XL</v>
          </cell>
          <cell r="H364">
            <v>361044</v>
          </cell>
          <cell r="I364">
            <v>52466</v>
          </cell>
          <cell r="J364">
            <v>0</v>
          </cell>
          <cell r="K364" t="str">
            <v>P0</v>
          </cell>
          <cell r="L364" t="str">
            <v>YRA</v>
          </cell>
          <cell r="M364" t="str">
            <v>Y</v>
          </cell>
          <cell r="N364" t="str">
            <v>R</v>
          </cell>
          <cell r="O364" t="str">
            <v>A</v>
          </cell>
          <cell r="P364" t="str">
            <v/>
          </cell>
          <cell r="Q364" t="str">
            <v/>
          </cell>
          <cell r="R364" t="str">
            <v>-</v>
          </cell>
        </row>
        <row r="365">
          <cell r="A365">
            <v>361050</v>
          </cell>
          <cell r="B365">
            <v>613</v>
          </cell>
          <cell r="C365">
            <v>10</v>
          </cell>
          <cell r="D365" t="str">
            <v>215/55 R18</v>
          </cell>
          <cell r="E365">
            <v>98</v>
          </cell>
          <cell r="F365" t="str">
            <v>V</v>
          </cell>
          <cell r="G365" t="str">
            <v>RAINSPORT 5 XL</v>
          </cell>
          <cell r="H365">
            <v>361050</v>
          </cell>
          <cell r="I365">
            <v>52713</v>
          </cell>
          <cell r="J365">
            <v>0</v>
          </cell>
          <cell r="K365" t="str">
            <v>P4</v>
          </cell>
          <cell r="L365" t="str">
            <v>AAAAW</v>
          </cell>
          <cell r="M365" t="str">
            <v>A</v>
          </cell>
          <cell r="N365" t="str">
            <v>A</v>
          </cell>
          <cell r="O365" t="str">
            <v>A</v>
          </cell>
          <cell r="P365" t="str">
            <v>A</v>
          </cell>
          <cell r="Q365" t="str">
            <v>W</v>
          </cell>
          <cell r="R365" t="str">
            <v>-</v>
          </cell>
        </row>
        <row r="366">
          <cell r="A366">
            <v>361054</v>
          </cell>
          <cell r="B366">
            <v>888</v>
          </cell>
          <cell r="C366">
            <v>58081</v>
          </cell>
          <cell r="D366" t="str">
            <v>225/40 R18</v>
          </cell>
          <cell r="E366">
            <v>92</v>
          </cell>
          <cell r="F366" t="str">
            <v>Y</v>
          </cell>
          <cell r="G366" t="str">
            <v>RAINSPORT 5 XL</v>
          </cell>
          <cell r="H366">
            <v>361054</v>
          </cell>
          <cell r="I366">
            <v>52088</v>
          </cell>
          <cell r="J366">
            <v>0</v>
          </cell>
          <cell r="K366" t="str">
            <v>P4</v>
          </cell>
          <cell r="L366" t="str">
            <v>AAAA</v>
          </cell>
          <cell r="M366" t="str">
            <v>A</v>
          </cell>
          <cell r="N366" t="str">
            <v>A</v>
          </cell>
          <cell r="O366" t="str">
            <v>A</v>
          </cell>
          <cell r="P366" t="str">
            <v>A</v>
          </cell>
          <cell r="Q366" t="str">
            <v/>
          </cell>
          <cell r="R366" t="str">
            <v>-</v>
          </cell>
        </row>
        <row r="367">
          <cell r="A367">
            <v>361058</v>
          </cell>
          <cell r="B367" t="str">
            <v>-</v>
          </cell>
          <cell r="C367">
            <v>2104</v>
          </cell>
          <cell r="D367" t="str">
            <v>225/45 R18</v>
          </cell>
          <cell r="E367">
            <v>95</v>
          </cell>
          <cell r="F367" t="str">
            <v>Y</v>
          </cell>
          <cell r="G367" t="str">
            <v>RAINSPORT 5 XL</v>
          </cell>
          <cell r="H367">
            <v>361058</v>
          </cell>
          <cell r="I367">
            <v>52205</v>
          </cell>
          <cell r="J367">
            <v>0</v>
          </cell>
          <cell r="K367" t="str">
            <v>P4</v>
          </cell>
          <cell r="L367" t="str">
            <v>YWA</v>
          </cell>
          <cell r="M367" t="str">
            <v>Y</v>
          </cell>
          <cell r="N367" t="str">
            <v>W</v>
          </cell>
          <cell r="O367" t="str">
            <v>A</v>
          </cell>
          <cell r="P367" t="str">
            <v/>
          </cell>
          <cell r="Q367" t="str">
            <v/>
          </cell>
          <cell r="R367" t="str">
            <v>-</v>
          </cell>
        </row>
        <row r="368">
          <cell r="A368">
            <v>361059</v>
          </cell>
          <cell r="B368">
            <v>748</v>
          </cell>
          <cell r="C368">
            <v>4016</v>
          </cell>
          <cell r="D368" t="str">
            <v>225/45 R19</v>
          </cell>
          <cell r="E368">
            <v>96</v>
          </cell>
          <cell r="F368" t="str">
            <v>Y</v>
          </cell>
          <cell r="G368" t="str">
            <v>RAINSPORT 5 XL</v>
          </cell>
          <cell r="H368">
            <v>361059</v>
          </cell>
          <cell r="I368">
            <v>52744</v>
          </cell>
          <cell r="J368">
            <v>0</v>
          </cell>
          <cell r="K368" t="str">
            <v>P4</v>
          </cell>
          <cell r="L368" t="str">
            <v>WWO</v>
          </cell>
          <cell r="M368" t="str">
            <v>W</v>
          </cell>
          <cell r="N368" t="str">
            <v>W</v>
          </cell>
          <cell r="O368" t="str">
            <v>O</v>
          </cell>
          <cell r="P368" t="str">
            <v/>
          </cell>
          <cell r="Q368" t="str">
            <v/>
          </cell>
          <cell r="R368" t="str">
            <v>-</v>
          </cell>
        </row>
        <row r="369">
          <cell r="A369">
            <v>361065</v>
          </cell>
          <cell r="B369">
            <v>64</v>
          </cell>
          <cell r="C369">
            <v>4616</v>
          </cell>
          <cell r="D369" t="str">
            <v>225/55 R19</v>
          </cell>
          <cell r="E369">
            <v>99</v>
          </cell>
          <cell r="F369" t="str">
            <v>V</v>
          </cell>
          <cell r="G369" t="str">
            <v>RAINSPORT 5</v>
          </cell>
          <cell r="H369">
            <v>361065</v>
          </cell>
          <cell r="I369">
            <v>52596</v>
          </cell>
          <cell r="J369">
            <v>0</v>
          </cell>
          <cell r="K369" t="str">
            <v>P4</v>
          </cell>
          <cell r="L369" t="str">
            <v>AAGO</v>
          </cell>
          <cell r="M369" t="str">
            <v>A</v>
          </cell>
          <cell r="N369" t="str">
            <v>A</v>
          </cell>
          <cell r="O369" t="str">
            <v>G</v>
          </cell>
          <cell r="P369" t="str">
            <v>O</v>
          </cell>
          <cell r="Q369" t="str">
            <v/>
          </cell>
          <cell r="R369" t="str">
            <v>-</v>
          </cell>
        </row>
        <row r="370">
          <cell r="A370">
            <v>361071</v>
          </cell>
          <cell r="B370">
            <v>706</v>
          </cell>
          <cell r="C370">
            <v>2009</v>
          </cell>
          <cell r="D370" t="str">
            <v>225/55 R18</v>
          </cell>
          <cell r="E370">
            <v>98</v>
          </cell>
          <cell r="F370" t="str">
            <v>V</v>
          </cell>
          <cell r="G370" t="str">
            <v>RAINSPORT 5</v>
          </cell>
          <cell r="H370">
            <v>361071</v>
          </cell>
          <cell r="I370">
            <v>52706</v>
          </cell>
          <cell r="J370">
            <v>0</v>
          </cell>
          <cell r="K370" t="str">
            <v>P4</v>
          </cell>
          <cell r="L370" t="str">
            <v>AOAR</v>
          </cell>
          <cell r="M370" t="str">
            <v>A</v>
          </cell>
          <cell r="N370" t="str">
            <v>O</v>
          </cell>
          <cell r="O370" t="str">
            <v>A</v>
          </cell>
          <cell r="P370" t="str">
            <v>R</v>
          </cell>
          <cell r="Q370" t="str">
            <v/>
          </cell>
          <cell r="R370" t="str">
            <v>-</v>
          </cell>
        </row>
        <row r="371">
          <cell r="A371">
            <v>361077</v>
          </cell>
          <cell r="B371">
            <v>827</v>
          </cell>
          <cell r="C371">
            <v>3131</v>
          </cell>
          <cell r="D371" t="str">
            <v>235/45 R18</v>
          </cell>
          <cell r="E371">
            <v>98</v>
          </cell>
          <cell r="F371" t="str">
            <v>Y</v>
          </cell>
          <cell r="G371" t="str">
            <v>RAINSPORT 5</v>
          </cell>
          <cell r="H371">
            <v>361077</v>
          </cell>
          <cell r="I371">
            <v>52827</v>
          </cell>
          <cell r="J371">
            <v>0</v>
          </cell>
          <cell r="K371" t="str">
            <v>P4</v>
          </cell>
          <cell r="L371" t="str">
            <v>YGG</v>
          </cell>
          <cell r="M371" t="str">
            <v>Y</v>
          </cell>
          <cell r="N371" t="str">
            <v>G</v>
          </cell>
          <cell r="O371" t="str">
            <v>G</v>
          </cell>
          <cell r="P371" t="str">
            <v/>
          </cell>
          <cell r="Q371" t="str">
            <v/>
          </cell>
          <cell r="R371" t="str">
            <v>-</v>
          </cell>
        </row>
        <row r="372">
          <cell r="A372">
            <v>361078</v>
          </cell>
          <cell r="B372">
            <v>799</v>
          </cell>
          <cell r="C372">
            <v>22</v>
          </cell>
          <cell r="D372" t="str">
            <v>235/50 R18</v>
          </cell>
          <cell r="E372">
            <v>97</v>
          </cell>
          <cell r="F372" t="str">
            <v>V</v>
          </cell>
          <cell r="G372" t="str">
            <v>RAINSPORT 5</v>
          </cell>
          <cell r="H372">
            <v>361078</v>
          </cell>
          <cell r="I372">
            <v>52790</v>
          </cell>
          <cell r="J372">
            <v>0</v>
          </cell>
          <cell r="K372" t="str">
            <v>P4</v>
          </cell>
          <cell r="L372" t="str">
            <v>GR</v>
          </cell>
          <cell r="M372" t="str">
            <v>G</v>
          </cell>
          <cell r="N372" t="str">
            <v>R</v>
          </cell>
          <cell r="O372" t="str">
            <v/>
          </cell>
          <cell r="P372" t="str">
            <v/>
          </cell>
          <cell r="Q372" t="str">
            <v/>
          </cell>
          <cell r="R372" t="str">
            <v>-</v>
          </cell>
        </row>
        <row r="373">
          <cell r="A373">
            <v>361079</v>
          </cell>
          <cell r="B373">
            <v>159</v>
          </cell>
          <cell r="C373">
            <v>322</v>
          </cell>
          <cell r="D373" t="str">
            <v>235/50 R18</v>
          </cell>
          <cell r="E373">
            <v>101</v>
          </cell>
          <cell r="F373" t="str">
            <v>Y</v>
          </cell>
          <cell r="G373" t="str">
            <v>RAINSPORT 5 XL</v>
          </cell>
          <cell r="H373">
            <v>361079</v>
          </cell>
          <cell r="I373">
            <v>52618</v>
          </cell>
          <cell r="J373">
            <v>0</v>
          </cell>
          <cell r="K373" t="str">
            <v>P4</v>
          </cell>
          <cell r="L373" t="str">
            <v>AWW</v>
          </cell>
          <cell r="M373" t="str">
            <v>A</v>
          </cell>
          <cell r="N373" t="str">
            <v>W</v>
          </cell>
          <cell r="O373" t="str">
            <v>W</v>
          </cell>
          <cell r="P373" t="str">
            <v/>
          </cell>
          <cell r="Q373" t="str">
            <v/>
          </cell>
          <cell r="R373" t="str">
            <v>-</v>
          </cell>
        </row>
        <row r="374">
          <cell r="A374">
            <v>361080</v>
          </cell>
          <cell r="B374">
            <v>716</v>
          </cell>
          <cell r="C374">
            <v>6040</v>
          </cell>
          <cell r="D374" t="str">
            <v>235/50 R19</v>
          </cell>
          <cell r="E374">
            <v>99</v>
          </cell>
          <cell r="F374" t="str">
            <v>V</v>
          </cell>
          <cell r="G374" t="str">
            <v>RAINSPORT 5</v>
          </cell>
          <cell r="H374">
            <v>361080</v>
          </cell>
          <cell r="I374">
            <v>52715</v>
          </cell>
          <cell r="J374">
            <v>0</v>
          </cell>
          <cell r="K374" t="str">
            <v>P4</v>
          </cell>
          <cell r="L374" t="str">
            <v>AOY</v>
          </cell>
          <cell r="M374" t="str">
            <v>A</v>
          </cell>
          <cell r="N374" t="str">
            <v>O</v>
          </cell>
          <cell r="O374" t="str">
            <v>Y</v>
          </cell>
          <cell r="P374" t="str">
            <v/>
          </cell>
          <cell r="Q374" t="str">
            <v/>
          </cell>
          <cell r="R374" t="str">
            <v>-</v>
          </cell>
        </row>
        <row r="375">
          <cell r="A375">
            <v>361083</v>
          </cell>
          <cell r="B375">
            <v>874</v>
          </cell>
          <cell r="C375">
            <v>69</v>
          </cell>
          <cell r="D375" t="str">
            <v>235/55 R18</v>
          </cell>
          <cell r="E375">
            <v>100</v>
          </cell>
          <cell r="F375" t="str">
            <v>H</v>
          </cell>
          <cell r="G375" t="str">
            <v>RAINSPORT 5</v>
          </cell>
          <cell r="H375">
            <v>361083</v>
          </cell>
          <cell r="I375">
            <v>52674</v>
          </cell>
          <cell r="J375">
            <v>0</v>
          </cell>
          <cell r="K375" t="str">
            <v>P4</v>
          </cell>
          <cell r="L375" t="str">
            <v>YGGAO</v>
          </cell>
          <cell r="M375" t="str">
            <v>Y</v>
          </cell>
          <cell r="N375" t="str">
            <v>G</v>
          </cell>
          <cell r="O375" t="str">
            <v>G</v>
          </cell>
          <cell r="P375" t="str">
            <v>A</v>
          </cell>
          <cell r="Q375" t="str">
            <v>O</v>
          </cell>
          <cell r="R375" t="str">
            <v>-</v>
          </cell>
        </row>
        <row r="376">
          <cell r="A376">
            <v>361084</v>
          </cell>
          <cell r="B376">
            <v>876</v>
          </cell>
          <cell r="C376">
            <v>169</v>
          </cell>
          <cell r="D376" t="str">
            <v>235/55 R18</v>
          </cell>
          <cell r="E376">
            <v>100</v>
          </cell>
          <cell r="F376" t="str">
            <v>V</v>
          </cell>
          <cell r="G376" t="str">
            <v>RAINSPORT 5</v>
          </cell>
          <cell r="H376">
            <v>361084</v>
          </cell>
          <cell r="I376">
            <v>52676</v>
          </cell>
          <cell r="J376">
            <v>0</v>
          </cell>
          <cell r="K376" t="str">
            <v>P4</v>
          </cell>
          <cell r="L376" t="str">
            <v>OARAW</v>
          </cell>
          <cell r="M376" t="str">
            <v>O</v>
          </cell>
          <cell r="N376" t="str">
            <v>A</v>
          </cell>
          <cell r="O376" t="str">
            <v>R</v>
          </cell>
          <cell r="P376" t="str">
            <v>A</v>
          </cell>
          <cell r="Q376" t="str">
            <v>W</v>
          </cell>
          <cell r="R376" t="str">
            <v>-</v>
          </cell>
        </row>
        <row r="377">
          <cell r="A377">
            <v>361090</v>
          </cell>
          <cell r="B377">
            <v>200</v>
          </cell>
          <cell r="C377">
            <v>58040</v>
          </cell>
          <cell r="D377" t="str">
            <v>245/35 R20</v>
          </cell>
          <cell r="E377">
            <v>95</v>
          </cell>
          <cell r="F377" t="str">
            <v>Y</v>
          </cell>
          <cell r="G377" t="str">
            <v>RAINSPORT 5 XL</v>
          </cell>
          <cell r="H377">
            <v>361090</v>
          </cell>
          <cell r="I377">
            <v>52200</v>
          </cell>
          <cell r="J377">
            <v>0</v>
          </cell>
          <cell r="K377" t="str">
            <v>R</v>
          </cell>
          <cell r="L377" t="str">
            <v>ARO</v>
          </cell>
          <cell r="M377" t="str">
            <v>A</v>
          </cell>
          <cell r="N377" t="str">
            <v>R</v>
          </cell>
          <cell r="O377" t="str">
            <v>O</v>
          </cell>
          <cell r="P377" t="str">
            <v/>
          </cell>
          <cell r="Q377" t="str">
            <v/>
          </cell>
          <cell r="R377" t="str">
            <v>-</v>
          </cell>
        </row>
        <row r="378">
          <cell r="A378">
            <v>361100</v>
          </cell>
          <cell r="B378">
            <v>878</v>
          </cell>
          <cell r="C378">
            <v>58122</v>
          </cell>
          <cell r="D378" t="str">
            <v>255/35 R19</v>
          </cell>
          <cell r="E378">
            <v>96</v>
          </cell>
          <cell r="F378" t="str">
            <v>Y</v>
          </cell>
          <cell r="G378" t="str">
            <v>RAINSPORT 5 XL</v>
          </cell>
          <cell r="H378">
            <v>361100</v>
          </cell>
          <cell r="I378">
            <v>52678</v>
          </cell>
          <cell r="J378">
            <v>0</v>
          </cell>
          <cell r="K378" t="str">
            <v>P0</v>
          </cell>
          <cell r="L378" t="str">
            <v>GOA</v>
          </cell>
          <cell r="M378" t="str">
            <v>G</v>
          </cell>
          <cell r="N378" t="str">
            <v>O</v>
          </cell>
          <cell r="O378" t="str">
            <v>A</v>
          </cell>
          <cell r="P378" t="str">
            <v/>
          </cell>
          <cell r="Q378" t="str">
            <v/>
          </cell>
          <cell r="R378" t="str">
            <v>-</v>
          </cell>
        </row>
        <row r="379">
          <cell r="A379">
            <v>361159</v>
          </cell>
          <cell r="B379">
            <v>484</v>
          </cell>
          <cell r="C379">
            <v>6069</v>
          </cell>
          <cell r="D379" t="str">
            <v>165/60 R15</v>
          </cell>
          <cell r="E379">
            <v>77</v>
          </cell>
          <cell r="F379" t="str">
            <v>H</v>
          </cell>
          <cell r="G379" t="str">
            <v>RAINEXPERT 5</v>
          </cell>
          <cell r="H379">
            <v>361159</v>
          </cell>
          <cell r="I379">
            <v>52884</v>
          </cell>
          <cell r="J379">
            <v>0</v>
          </cell>
          <cell r="K379" t="str">
            <v>P2</v>
          </cell>
          <cell r="L379" t="str">
            <v>OWARY</v>
          </cell>
          <cell r="M379" t="str">
            <v>O</v>
          </cell>
          <cell r="N379" t="str">
            <v>W</v>
          </cell>
          <cell r="O379" t="str">
            <v>A</v>
          </cell>
          <cell r="P379" t="str">
            <v>R</v>
          </cell>
          <cell r="Q379" t="str">
            <v>Y</v>
          </cell>
          <cell r="R379" t="str">
            <v>-</v>
          </cell>
        </row>
        <row r="380">
          <cell r="A380">
            <v>361160</v>
          </cell>
          <cell r="B380">
            <v>991</v>
          </cell>
          <cell r="C380">
            <v>4076</v>
          </cell>
          <cell r="D380" t="str">
            <v>165/65 R15</v>
          </cell>
          <cell r="E380">
            <v>81</v>
          </cell>
          <cell r="F380" t="str">
            <v>T</v>
          </cell>
          <cell r="G380" t="str">
            <v>RAINEXPERT 5</v>
          </cell>
          <cell r="H380">
            <v>361160</v>
          </cell>
          <cell r="I380">
            <v>52791</v>
          </cell>
          <cell r="J380">
            <v>0</v>
          </cell>
          <cell r="K380" t="str">
            <v>P8</v>
          </cell>
          <cell r="L380" t="str">
            <v>GGYR</v>
          </cell>
          <cell r="M380" t="str">
            <v>G</v>
          </cell>
          <cell r="N380" t="str">
            <v>G</v>
          </cell>
          <cell r="O380" t="str">
            <v>Y</v>
          </cell>
          <cell r="P380" t="str">
            <v>R</v>
          </cell>
          <cell r="Q380" t="str">
            <v/>
          </cell>
          <cell r="R380" t="str">
            <v>-</v>
          </cell>
        </row>
        <row r="381">
          <cell r="A381">
            <v>361161</v>
          </cell>
          <cell r="B381">
            <v>426</v>
          </cell>
          <cell r="C381">
            <v>5085</v>
          </cell>
          <cell r="D381" t="str">
            <v>175/60 R15</v>
          </cell>
          <cell r="E381">
            <v>81</v>
          </cell>
          <cell r="F381" t="str">
            <v>H</v>
          </cell>
          <cell r="G381" t="str">
            <v>RAINEXPERT 5</v>
          </cell>
          <cell r="H381">
            <v>361161</v>
          </cell>
          <cell r="I381">
            <v>52427</v>
          </cell>
          <cell r="J381">
            <v>0</v>
          </cell>
          <cell r="K381" t="str">
            <v>P8</v>
          </cell>
          <cell r="L381" t="str">
            <v>AAA</v>
          </cell>
          <cell r="M381" t="str">
            <v>A</v>
          </cell>
          <cell r="N381" t="str">
            <v>A</v>
          </cell>
          <cell r="O381" t="str">
            <v>A</v>
          </cell>
          <cell r="P381" t="str">
            <v/>
          </cell>
          <cell r="Q381" t="str">
            <v/>
          </cell>
          <cell r="R381" t="str">
            <v>-</v>
          </cell>
        </row>
        <row r="382">
          <cell r="A382">
            <v>361179</v>
          </cell>
          <cell r="B382">
            <v>965</v>
          </cell>
          <cell r="C382">
            <v>6129</v>
          </cell>
          <cell r="D382" t="str">
            <v>195/60 R16</v>
          </cell>
          <cell r="E382">
            <v>89</v>
          </cell>
          <cell r="F382" t="str">
            <v>V</v>
          </cell>
          <cell r="G382" t="str">
            <v>RAINEXPERT 5</v>
          </cell>
          <cell r="H382">
            <v>361179</v>
          </cell>
          <cell r="I382">
            <v>52865</v>
          </cell>
          <cell r="J382">
            <v>0</v>
          </cell>
          <cell r="K382" t="str">
            <v>P4</v>
          </cell>
          <cell r="L382" t="str">
            <v>GOWY</v>
          </cell>
          <cell r="M382" t="str">
            <v>G</v>
          </cell>
          <cell r="N382" t="str">
            <v>O</v>
          </cell>
          <cell r="O382" t="str">
            <v>W</v>
          </cell>
          <cell r="P382" t="str">
            <v>Y</v>
          </cell>
          <cell r="Q382" t="str">
            <v/>
          </cell>
          <cell r="R382" t="str">
            <v>-</v>
          </cell>
        </row>
        <row r="383">
          <cell r="A383">
            <v>361194</v>
          </cell>
          <cell r="B383">
            <v>918</v>
          </cell>
          <cell r="C383">
            <v>4078</v>
          </cell>
          <cell r="D383" t="str">
            <v>225/60 R17</v>
          </cell>
          <cell r="E383">
            <v>99</v>
          </cell>
          <cell r="F383" t="str">
            <v>V</v>
          </cell>
          <cell r="G383" t="str">
            <v>RAINEXPERT 5</v>
          </cell>
          <cell r="H383">
            <v>361194</v>
          </cell>
          <cell r="I383">
            <v>52818</v>
          </cell>
          <cell r="J383">
            <v>0</v>
          </cell>
          <cell r="K383" t="str">
            <v>P4</v>
          </cell>
          <cell r="L383" t="str">
            <v>GGGYG</v>
          </cell>
          <cell r="M383" t="str">
            <v>G</v>
          </cell>
          <cell r="N383" t="str">
            <v>G</v>
          </cell>
          <cell r="O383" t="str">
            <v>G</v>
          </cell>
          <cell r="P383" t="str">
            <v>Y</v>
          </cell>
          <cell r="Q383" t="str">
            <v>G</v>
          </cell>
          <cell r="R383" t="str">
            <v>-</v>
          </cell>
        </row>
        <row r="384">
          <cell r="A384">
            <v>361195</v>
          </cell>
          <cell r="B384">
            <v>139</v>
          </cell>
          <cell r="C384">
            <v>5171</v>
          </cell>
          <cell r="D384" t="str">
            <v>225/65 R17</v>
          </cell>
          <cell r="E384">
            <v>106</v>
          </cell>
          <cell r="F384" t="str">
            <v>V</v>
          </cell>
          <cell r="G384" t="str">
            <v>RAINEXPERT 5 XL</v>
          </cell>
          <cell r="H384">
            <v>361195</v>
          </cell>
          <cell r="I384">
            <v>52239</v>
          </cell>
          <cell r="J384">
            <v>0</v>
          </cell>
          <cell r="K384" t="str">
            <v>P7</v>
          </cell>
          <cell r="L384" t="str">
            <v>WROR</v>
          </cell>
          <cell r="M384" t="str">
            <v>W</v>
          </cell>
          <cell r="N384" t="str">
            <v>R</v>
          </cell>
          <cell r="O384" t="str">
            <v>O</v>
          </cell>
          <cell r="P384" t="str">
            <v>R</v>
          </cell>
          <cell r="Q384" t="str">
            <v/>
          </cell>
          <cell r="R384" t="str">
            <v>-</v>
          </cell>
        </row>
        <row r="385">
          <cell r="A385">
            <v>361196</v>
          </cell>
          <cell r="B385">
            <v>229</v>
          </cell>
          <cell r="C385">
            <v>5071</v>
          </cell>
          <cell r="D385" t="str">
            <v>225/65 R17</v>
          </cell>
          <cell r="E385">
            <v>106</v>
          </cell>
          <cell r="F385" t="str">
            <v>V</v>
          </cell>
          <cell r="G385" t="str">
            <v>RAINEXPERT 5 XL</v>
          </cell>
          <cell r="H385">
            <v>361196</v>
          </cell>
          <cell r="I385">
            <v>52223</v>
          </cell>
          <cell r="J385">
            <v>0</v>
          </cell>
          <cell r="K385" t="str">
            <v>P7</v>
          </cell>
          <cell r="L385" t="str">
            <v>YYGY</v>
          </cell>
          <cell r="M385" t="str">
            <v>Y</v>
          </cell>
          <cell r="N385" t="str">
            <v>Y</v>
          </cell>
          <cell r="O385" t="str">
            <v>G</v>
          </cell>
          <cell r="P385" t="str">
            <v>Y</v>
          </cell>
          <cell r="Q385" t="str">
            <v/>
          </cell>
          <cell r="R385" t="str">
            <v>-</v>
          </cell>
        </row>
        <row r="386">
          <cell r="A386">
            <v>361213</v>
          </cell>
          <cell r="B386">
            <v>688</v>
          </cell>
          <cell r="C386">
            <v>2005</v>
          </cell>
          <cell r="D386" t="str">
            <v>235/55 R17</v>
          </cell>
          <cell r="E386">
            <v>103</v>
          </cell>
          <cell r="F386" t="str">
            <v>V</v>
          </cell>
          <cell r="G386" t="str">
            <v>RAINSPORT 5 XL</v>
          </cell>
          <cell r="H386">
            <v>361213</v>
          </cell>
          <cell r="I386">
            <v>52689</v>
          </cell>
          <cell r="J386">
            <v>0</v>
          </cell>
          <cell r="K386" t="str">
            <v>P4</v>
          </cell>
          <cell r="L386" t="str">
            <v>WWR</v>
          </cell>
          <cell r="M386" t="str">
            <v>W</v>
          </cell>
          <cell r="N386" t="str">
            <v>W</v>
          </cell>
          <cell r="O386" t="str">
            <v>R</v>
          </cell>
          <cell r="P386" t="str">
            <v/>
          </cell>
          <cell r="Q386" t="str">
            <v/>
          </cell>
          <cell r="R386" t="str">
            <v>-</v>
          </cell>
        </row>
        <row r="387">
          <cell r="A387">
            <v>361234</v>
          </cell>
          <cell r="B387" t="str">
            <v>-</v>
          </cell>
          <cell r="C387">
            <v>2075</v>
          </cell>
          <cell r="D387" t="str">
            <v>185/55 R16</v>
          </cell>
          <cell r="E387">
            <v>83</v>
          </cell>
          <cell r="F387" t="str">
            <v>V</v>
          </cell>
          <cell r="G387" t="str">
            <v>RAINSPORT 5</v>
          </cell>
          <cell r="H387">
            <v>361234</v>
          </cell>
          <cell r="I387">
            <v>52691</v>
          </cell>
          <cell r="J387">
            <v>0</v>
          </cell>
          <cell r="K387" t="str">
            <v>P2</v>
          </cell>
          <cell r="L387" t="str">
            <v>GRY</v>
          </cell>
          <cell r="M387" t="str">
            <v>G</v>
          </cell>
          <cell r="N387" t="str">
            <v>R</v>
          </cell>
          <cell r="O387" t="str">
            <v>Y</v>
          </cell>
          <cell r="P387" t="str">
            <v/>
          </cell>
          <cell r="Q387" t="str">
            <v/>
          </cell>
          <cell r="R387" t="str">
            <v>-</v>
          </cell>
        </row>
        <row r="388">
          <cell r="A388">
            <v>362664</v>
          </cell>
          <cell r="B388">
            <v>728</v>
          </cell>
          <cell r="C388">
            <v>5078</v>
          </cell>
          <cell r="D388" t="str">
            <v>225/65 R17</v>
          </cell>
          <cell r="E388">
            <v>106</v>
          </cell>
          <cell r="F388" t="str">
            <v>V</v>
          </cell>
          <cell r="G388" t="str">
            <v>ALLSEASONEXPERT 2 XL</v>
          </cell>
          <cell r="H388">
            <v>362664</v>
          </cell>
          <cell r="I388">
            <v>52528</v>
          </cell>
          <cell r="J388">
            <v>0</v>
          </cell>
          <cell r="K388" t="str">
            <v>P4</v>
          </cell>
          <cell r="L388" t="str">
            <v>WWRRO</v>
          </cell>
          <cell r="M388" t="str">
            <v>W</v>
          </cell>
          <cell r="N388" t="str">
            <v>W</v>
          </cell>
          <cell r="O388" t="str">
            <v>R</v>
          </cell>
          <cell r="P388" t="str">
            <v>R</v>
          </cell>
          <cell r="Q388" t="str">
            <v>O</v>
          </cell>
          <cell r="R388" t="str">
            <v>-</v>
          </cell>
        </row>
        <row r="389">
          <cell r="A389">
            <v>362891</v>
          </cell>
          <cell r="B389">
            <v>798</v>
          </cell>
          <cell r="C389">
            <v>3043</v>
          </cell>
          <cell r="D389" t="str">
            <v>235/50 R18</v>
          </cell>
          <cell r="E389">
            <v>101</v>
          </cell>
          <cell r="F389" t="str">
            <v>V</v>
          </cell>
          <cell r="G389" t="str">
            <v>ALLSEASONEXPERT 2 XL</v>
          </cell>
          <cell r="H389">
            <v>362891</v>
          </cell>
          <cell r="I389">
            <v>52797</v>
          </cell>
          <cell r="J389">
            <v>0</v>
          </cell>
          <cell r="K389" t="str">
            <v>P4</v>
          </cell>
          <cell r="L389" t="str">
            <v>RWAO</v>
          </cell>
          <cell r="M389" t="str">
            <v>R</v>
          </cell>
          <cell r="N389" t="str">
            <v>W</v>
          </cell>
          <cell r="O389" t="str">
            <v>A</v>
          </cell>
          <cell r="P389" t="str">
            <v>O</v>
          </cell>
          <cell r="Q389" t="str">
            <v/>
          </cell>
          <cell r="R389" t="str">
            <v>-</v>
          </cell>
        </row>
        <row r="390">
          <cell r="A390">
            <v>362898</v>
          </cell>
          <cell r="B390">
            <v>142</v>
          </cell>
          <cell r="C390">
            <v>48</v>
          </cell>
          <cell r="D390" t="str">
            <v>205/55 R17</v>
          </cell>
          <cell r="E390">
            <v>95</v>
          </cell>
          <cell r="F390" t="str">
            <v>V</v>
          </cell>
          <cell r="G390" t="str">
            <v>ALLSEASONEXPERT 2 XL</v>
          </cell>
          <cell r="H390">
            <v>362898</v>
          </cell>
          <cell r="I390">
            <v>52182</v>
          </cell>
          <cell r="J390">
            <v>0</v>
          </cell>
          <cell r="K390" t="str">
            <v>P4</v>
          </cell>
          <cell r="L390" t="str">
            <v>YYWWA</v>
          </cell>
          <cell r="M390" t="str">
            <v>Y</v>
          </cell>
          <cell r="N390" t="str">
            <v>Y</v>
          </cell>
          <cell r="O390" t="str">
            <v>W</v>
          </cell>
          <cell r="P390" t="str">
            <v>W</v>
          </cell>
          <cell r="Q390" t="str">
            <v>A</v>
          </cell>
          <cell r="R390" t="str">
            <v>-</v>
          </cell>
        </row>
        <row r="391">
          <cell r="A391">
            <v>362900</v>
          </cell>
          <cell r="B391">
            <v>386</v>
          </cell>
          <cell r="C391">
            <v>4054</v>
          </cell>
          <cell r="D391" t="str">
            <v>235/55 R18</v>
          </cell>
          <cell r="E391">
            <v>100</v>
          </cell>
          <cell r="F391" t="str">
            <v>V</v>
          </cell>
          <cell r="G391" t="str">
            <v>ALLSEASONEXPERT 2 XL</v>
          </cell>
          <cell r="H391">
            <v>362900</v>
          </cell>
          <cell r="I391">
            <v>52385</v>
          </cell>
          <cell r="J391">
            <v>0</v>
          </cell>
          <cell r="K391" t="str">
            <v>P4</v>
          </cell>
          <cell r="L391" t="str">
            <v>YYOWA</v>
          </cell>
          <cell r="M391" t="str">
            <v>Y</v>
          </cell>
          <cell r="N391" t="str">
            <v>Y</v>
          </cell>
          <cell r="O391" t="str">
            <v>O</v>
          </cell>
          <cell r="P391" t="str">
            <v>W</v>
          </cell>
          <cell r="Q391" t="str">
            <v>A</v>
          </cell>
          <cell r="R391" t="str">
            <v>-</v>
          </cell>
        </row>
        <row r="392">
          <cell r="A392">
            <v>362949</v>
          </cell>
          <cell r="B392">
            <v>651</v>
          </cell>
          <cell r="C392">
            <v>6010</v>
          </cell>
          <cell r="D392" t="str">
            <v>215/45 R16</v>
          </cell>
          <cell r="E392">
            <v>90</v>
          </cell>
          <cell r="F392" t="str">
            <v>V</v>
          </cell>
          <cell r="G392" t="str">
            <v>RAINSPORT 3 XL</v>
          </cell>
          <cell r="H392">
            <v>362949</v>
          </cell>
          <cell r="I392">
            <v>52351</v>
          </cell>
          <cell r="J392">
            <v>0</v>
          </cell>
          <cell r="K392" t="str">
            <v>P4</v>
          </cell>
          <cell r="L392" t="str">
            <v>RRRWG</v>
          </cell>
          <cell r="M392" t="str">
            <v>R</v>
          </cell>
          <cell r="N392" t="str">
            <v>R</v>
          </cell>
          <cell r="O392" t="str">
            <v>R</v>
          </cell>
          <cell r="P392" t="str">
            <v>W</v>
          </cell>
          <cell r="Q392" t="str">
            <v>G</v>
          </cell>
          <cell r="R392" t="str">
            <v>-</v>
          </cell>
        </row>
        <row r="393">
          <cell r="A393">
            <v>362966</v>
          </cell>
          <cell r="B393">
            <v>245</v>
          </cell>
          <cell r="C393">
            <v>3066</v>
          </cell>
          <cell r="D393" t="str">
            <v>165/65 R15</v>
          </cell>
          <cell r="E393">
            <v>81</v>
          </cell>
          <cell r="F393" t="str">
            <v>T</v>
          </cell>
          <cell r="G393" t="str">
            <v>ALLSEASONEXPERT 2</v>
          </cell>
          <cell r="H393">
            <v>362966</v>
          </cell>
          <cell r="I393">
            <v>52243</v>
          </cell>
          <cell r="J393">
            <v>0</v>
          </cell>
          <cell r="K393" t="str">
            <v>P8</v>
          </cell>
          <cell r="L393" t="str">
            <v>AO</v>
          </cell>
          <cell r="M393" t="str">
            <v>A</v>
          </cell>
          <cell r="N393" t="str">
            <v>O</v>
          </cell>
          <cell r="O393" t="str">
            <v/>
          </cell>
          <cell r="P393" t="str">
            <v/>
          </cell>
          <cell r="Q393" t="str">
            <v/>
          </cell>
          <cell r="R393" t="str">
            <v>-</v>
          </cell>
        </row>
        <row r="394">
          <cell r="A394">
            <v>362987</v>
          </cell>
          <cell r="B394">
            <v>365</v>
          </cell>
          <cell r="C394">
            <v>85</v>
          </cell>
          <cell r="D394" t="str">
            <v>205/50 R17</v>
          </cell>
          <cell r="E394">
            <v>93</v>
          </cell>
          <cell r="F394" t="str">
            <v>V</v>
          </cell>
          <cell r="G394" t="str">
            <v>ALLSEASONEXPERT 2 XL</v>
          </cell>
          <cell r="H394">
            <v>362987</v>
          </cell>
          <cell r="I394">
            <v>52265</v>
          </cell>
          <cell r="J394">
            <v>0</v>
          </cell>
          <cell r="K394" t="str">
            <v>P4</v>
          </cell>
          <cell r="L394" t="str">
            <v>AAAY</v>
          </cell>
          <cell r="M394" t="str">
            <v>A</v>
          </cell>
          <cell r="N394" t="str">
            <v>A</v>
          </cell>
          <cell r="O394" t="str">
            <v>A</v>
          </cell>
          <cell r="P394" t="str">
            <v>Y</v>
          </cell>
          <cell r="Q394" t="str">
            <v/>
          </cell>
          <cell r="R394" t="str">
            <v>-</v>
          </cell>
        </row>
        <row r="395">
          <cell r="A395">
            <v>362994</v>
          </cell>
          <cell r="B395">
            <v>941</v>
          </cell>
          <cell r="C395">
            <v>5278</v>
          </cell>
          <cell r="D395" t="str">
            <v>215/55 R18</v>
          </cell>
          <cell r="E395">
            <v>99</v>
          </cell>
          <cell r="F395" t="str">
            <v>V</v>
          </cell>
          <cell r="G395" t="str">
            <v>ALLSEASONEXPERT 2 XL</v>
          </cell>
          <cell r="H395">
            <v>362994</v>
          </cell>
          <cell r="I395">
            <v>52442</v>
          </cell>
          <cell r="J395">
            <v>0</v>
          </cell>
          <cell r="K395" t="str">
            <v>P4</v>
          </cell>
          <cell r="L395" t="str">
            <v>YYAY</v>
          </cell>
          <cell r="M395" t="str">
            <v>Y</v>
          </cell>
          <cell r="N395" t="str">
            <v>Y</v>
          </cell>
          <cell r="O395" t="str">
            <v>A</v>
          </cell>
          <cell r="P395" t="str">
            <v>Y</v>
          </cell>
          <cell r="Q395" t="str">
            <v/>
          </cell>
          <cell r="R395" t="str">
            <v>-</v>
          </cell>
        </row>
        <row r="396">
          <cell r="A396">
            <v>362996</v>
          </cell>
          <cell r="B396">
            <v>622</v>
          </cell>
          <cell r="C396">
            <v>385</v>
          </cell>
          <cell r="D396" t="str">
            <v>215/60 R17</v>
          </cell>
          <cell r="E396">
            <v>96</v>
          </cell>
          <cell r="F396" t="str">
            <v>H</v>
          </cell>
          <cell r="G396" t="str">
            <v>ALLSEASONEXPERT 2</v>
          </cell>
          <cell r="H396">
            <v>362996</v>
          </cell>
          <cell r="I396">
            <v>52225</v>
          </cell>
          <cell r="J396">
            <v>0</v>
          </cell>
          <cell r="K396" t="str">
            <v>P4</v>
          </cell>
          <cell r="L396" t="str">
            <v>GGWOO</v>
          </cell>
          <cell r="M396" t="str">
            <v>G</v>
          </cell>
          <cell r="N396" t="str">
            <v>G</v>
          </cell>
          <cell r="O396" t="str">
            <v>W</v>
          </cell>
          <cell r="P396" t="str">
            <v>O</v>
          </cell>
          <cell r="Q396" t="str">
            <v>O</v>
          </cell>
          <cell r="R396" t="str">
            <v>-</v>
          </cell>
        </row>
        <row r="397">
          <cell r="A397">
            <v>362998</v>
          </cell>
          <cell r="B397">
            <v>49</v>
          </cell>
          <cell r="C397">
            <v>58027</v>
          </cell>
          <cell r="D397" t="str">
            <v>225/40 R18</v>
          </cell>
          <cell r="E397">
            <v>92</v>
          </cell>
          <cell r="F397" t="str">
            <v>V</v>
          </cell>
          <cell r="G397" t="str">
            <v>ALLSEASONEXPERT 2 XL</v>
          </cell>
          <cell r="H397">
            <v>362998</v>
          </cell>
          <cell r="I397">
            <v>52049</v>
          </cell>
          <cell r="J397">
            <v>0</v>
          </cell>
          <cell r="K397" t="str">
            <v>P8</v>
          </cell>
          <cell r="L397" t="str">
            <v>YRGGO</v>
          </cell>
          <cell r="M397" t="str">
            <v>Y</v>
          </cell>
          <cell r="N397" t="str">
            <v>R</v>
          </cell>
          <cell r="O397" t="str">
            <v>G</v>
          </cell>
          <cell r="P397" t="str">
            <v>G</v>
          </cell>
          <cell r="Q397" t="str">
            <v>O</v>
          </cell>
          <cell r="R397" t="str">
            <v>-</v>
          </cell>
        </row>
        <row r="398">
          <cell r="A398">
            <v>363158</v>
          </cell>
          <cell r="B398">
            <v>355</v>
          </cell>
          <cell r="C398">
            <v>6050</v>
          </cell>
          <cell r="D398" t="str">
            <v>165/65 R15</v>
          </cell>
          <cell r="E398">
            <v>81</v>
          </cell>
          <cell r="F398" t="str">
            <v>T</v>
          </cell>
          <cell r="G398" t="str">
            <v>WINTER EXPERT</v>
          </cell>
          <cell r="H398">
            <v>363158</v>
          </cell>
          <cell r="I398">
            <v>52350</v>
          </cell>
          <cell r="J398">
            <v>0</v>
          </cell>
          <cell r="K398" t="str">
            <v>P8</v>
          </cell>
          <cell r="L398" t="str">
            <v>WYG</v>
          </cell>
          <cell r="M398" t="str">
            <v>W</v>
          </cell>
          <cell r="N398" t="str">
            <v>Y</v>
          </cell>
          <cell r="O398" t="str">
            <v>G</v>
          </cell>
          <cell r="P398" t="str">
            <v/>
          </cell>
          <cell r="Q398" t="str">
            <v/>
          </cell>
          <cell r="R398" t="str">
            <v>-</v>
          </cell>
        </row>
        <row r="399">
          <cell r="A399">
            <v>363189</v>
          </cell>
          <cell r="B399">
            <v>142</v>
          </cell>
          <cell r="C399">
            <v>48</v>
          </cell>
          <cell r="D399" t="str">
            <v>205/55 R17</v>
          </cell>
          <cell r="E399">
            <v>95</v>
          </cell>
          <cell r="F399" t="str">
            <v>V</v>
          </cell>
          <cell r="G399" t="str">
            <v>WINTEREXPERT XL</v>
          </cell>
          <cell r="H399">
            <v>363189</v>
          </cell>
          <cell r="I399">
            <v>52182</v>
          </cell>
          <cell r="J399">
            <v>0</v>
          </cell>
          <cell r="K399" t="str">
            <v>P4</v>
          </cell>
          <cell r="L399" t="str">
            <v>YYWWA</v>
          </cell>
          <cell r="M399" t="str">
            <v>Y</v>
          </cell>
          <cell r="N399" t="str">
            <v>Y</v>
          </cell>
          <cell r="O399" t="str">
            <v>W</v>
          </cell>
          <cell r="P399" t="str">
            <v>W</v>
          </cell>
          <cell r="Q399" t="str">
            <v>A</v>
          </cell>
          <cell r="R399" t="str">
            <v>-</v>
          </cell>
        </row>
        <row r="400">
          <cell r="A400">
            <v>363190</v>
          </cell>
          <cell r="B400" t="str">
            <v>-</v>
          </cell>
          <cell r="C400">
            <v>6088</v>
          </cell>
          <cell r="D400" t="str">
            <v>215/55 R17</v>
          </cell>
          <cell r="E400">
            <v>98</v>
          </cell>
          <cell r="F400" t="str">
            <v>V</v>
          </cell>
          <cell r="G400" t="str">
            <v>WINTEREXPERT XL</v>
          </cell>
          <cell r="H400">
            <v>363190</v>
          </cell>
          <cell r="I400">
            <v>52668</v>
          </cell>
          <cell r="J400">
            <v>0</v>
          </cell>
          <cell r="K400" t="str">
            <v>P4</v>
          </cell>
          <cell r="L400" t="str">
            <v>WYRY</v>
          </cell>
          <cell r="M400" t="str">
            <v>W</v>
          </cell>
          <cell r="N400" t="str">
            <v>Y</v>
          </cell>
          <cell r="O400" t="str">
            <v>R</v>
          </cell>
          <cell r="P400" t="str">
            <v>Y</v>
          </cell>
          <cell r="Q400" t="str">
            <v/>
          </cell>
          <cell r="R400" t="str">
            <v>-</v>
          </cell>
        </row>
        <row r="401">
          <cell r="A401">
            <v>363191</v>
          </cell>
          <cell r="B401">
            <v>366</v>
          </cell>
          <cell r="C401">
            <v>5039</v>
          </cell>
          <cell r="D401" t="str">
            <v>215/50 R17</v>
          </cell>
          <cell r="E401">
            <v>95</v>
          </cell>
          <cell r="F401" t="str">
            <v>V</v>
          </cell>
          <cell r="G401" t="str">
            <v>WINTER EXPERT XL</v>
          </cell>
          <cell r="H401">
            <v>363191</v>
          </cell>
          <cell r="I401">
            <v>52366</v>
          </cell>
          <cell r="J401">
            <v>0</v>
          </cell>
          <cell r="K401" t="str">
            <v>P4</v>
          </cell>
          <cell r="L401" t="str">
            <v>GAWYO</v>
          </cell>
          <cell r="M401" t="str">
            <v>G</v>
          </cell>
          <cell r="N401" t="str">
            <v>A</v>
          </cell>
          <cell r="O401" t="str">
            <v>W</v>
          </cell>
          <cell r="P401" t="str">
            <v>Y</v>
          </cell>
          <cell r="Q401" t="str">
            <v>O</v>
          </cell>
          <cell r="R401" t="str">
            <v>-</v>
          </cell>
        </row>
        <row r="402">
          <cell r="A402">
            <v>363193</v>
          </cell>
          <cell r="B402">
            <v>384</v>
          </cell>
          <cell r="C402">
            <v>30</v>
          </cell>
          <cell r="D402" t="str">
            <v>245/45 R18</v>
          </cell>
          <cell r="E402">
            <v>100</v>
          </cell>
          <cell r="F402" t="str">
            <v>V</v>
          </cell>
          <cell r="G402" t="str">
            <v>WINTER EXPERT XL</v>
          </cell>
          <cell r="H402">
            <v>363193</v>
          </cell>
          <cell r="I402">
            <v>52384</v>
          </cell>
          <cell r="J402">
            <v>0</v>
          </cell>
          <cell r="K402" t="str">
            <v>P4</v>
          </cell>
          <cell r="L402" t="str">
            <v>OAGGR</v>
          </cell>
          <cell r="M402" t="str">
            <v>O</v>
          </cell>
          <cell r="N402" t="str">
            <v>A</v>
          </cell>
          <cell r="O402" t="str">
            <v>G</v>
          </cell>
          <cell r="P402" t="str">
            <v>G</v>
          </cell>
          <cell r="Q402" t="str">
            <v>R</v>
          </cell>
          <cell r="R402" t="str">
            <v>-</v>
          </cell>
        </row>
        <row r="403">
          <cell r="A403">
            <v>363194</v>
          </cell>
          <cell r="B403">
            <v>49</v>
          </cell>
          <cell r="C403">
            <v>58020</v>
          </cell>
          <cell r="D403" t="str">
            <v>225/40 R18</v>
          </cell>
          <cell r="E403">
            <v>92</v>
          </cell>
          <cell r="F403" t="str">
            <v>V</v>
          </cell>
          <cell r="G403" t="str">
            <v>WINTEREXPERT XL</v>
          </cell>
          <cell r="H403">
            <v>363194</v>
          </cell>
          <cell r="I403">
            <v>52901</v>
          </cell>
          <cell r="J403">
            <v>0</v>
          </cell>
          <cell r="K403" t="str">
            <v>P8</v>
          </cell>
          <cell r="L403" t="str">
            <v>AAOWW</v>
          </cell>
          <cell r="M403" t="str">
            <v>A</v>
          </cell>
          <cell r="N403" t="str">
            <v>A</v>
          </cell>
          <cell r="O403" t="str">
            <v>O</v>
          </cell>
          <cell r="P403" t="str">
            <v>W</v>
          </cell>
          <cell r="Q403" t="str">
            <v>W</v>
          </cell>
          <cell r="R403" t="str">
            <v>-</v>
          </cell>
        </row>
        <row r="404">
          <cell r="A404">
            <v>363216</v>
          </cell>
          <cell r="B404" t="str">
            <v>-</v>
          </cell>
          <cell r="C404">
            <v>5041</v>
          </cell>
          <cell r="D404" t="str">
            <v>235/60 R18</v>
          </cell>
          <cell r="E404">
            <v>107</v>
          </cell>
          <cell r="F404" t="str">
            <v>V</v>
          </cell>
          <cell r="G404" t="str">
            <v>WINTEREXPERT XL</v>
          </cell>
          <cell r="H404">
            <v>363216</v>
          </cell>
          <cell r="I404">
            <v>52333</v>
          </cell>
          <cell r="J404">
            <v>0</v>
          </cell>
          <cell r="K404" t="str">
            <v>P4</v>
          </cell>
          <cell r="L404" t="str">
            <v>GGO</v>
          </cell>
          <cell r="M404" t="str">
            <v>G</v>
          </cell>
          <cell r="N404" t="str">
            <v>G</v>
          </cell>
          <cell r="O404" t="str">
            <v>O</v>
          </cell>
          <cell r="P404" t="str">
            <v/>
          </cell>
          <cell r="Q404" t="str">
            <v/>
          </cell>
          <cell r="R404" t="str">
            <v>-</v>
          </cell>
        </row>
        <row r="405">
          <cell r="A405">
            <v>363241</v>
          </cell>
          <cell r="B405">
            <v>550</v>
          </cell>
          <cell r="C405">
            <v>2060</v>
          </cell>
          <cell r="D405" t="str">
            <v>255/55 R18</v>
          </cell>
          <cell r="E405">
            <v>109</v>
          </cell>
          <cell r="F405" t="str">
            <v>V</v>
          </cell>
          <cell r="G405" t="str">
            <v>WINTEREXPERT XL</v>
          </cell>
          <cell r="H405">
            <v>363241</v>
          </cell>
          <cell r="I405">
            <v>52555</v>
          </cell>
          <cell r="J405">
            <v>0</v>
          </cell>
          <cell r="K405" t="str">
            <v>R</v>
          </cell>
          <cell r="L405" t="str">
            <v>AAAYG</v>
          </cell>
          <cell r="M405" t="str">
            <v>A</v>
          </cell>
          <cell r="N405" t="str">
            <v>A</v>
          </cell>
          <cell r="O405" t="str">
            <v>A</v>
          </cell>
          <cell r="P405" t="str">
            <v>Y</v>
          </cell>
          <cell r="Q405" t="str">
            <v>G</v>
          </cell>
          <cell r="R405" t="str">
            <v>-</v>
          </cell>
        </row>
        <row r="406">
          <cell r="A406">
            <v>363247</v>
          </cell>
          <cell r="B406" t="str">
            <v>-</v>
          </cell>
          <cell r="C406">
            <v>4090</v>
          </cell>
          <cell r="D406" t="str">
            <v>235/55 R19</v>
          </cell>
          <cell r="E406">
            <v>105</v>
          </cell>
          <cell r="F406" t="str">
            <v>V</v>
          </cell>
          <cell r="G406" t="str">
            <v>WINTER EXPERT XL</v>
          </cell>
          <cell r="H406">
            <v>363247</v>
          </cell>
          <cell r="I406">
            <v>52395</v>
          </cell>
          <cell r="J406">
            <v>0</v>
          </cell>
          <cell r="K406" t="str">
            <v>P3</v>
          </cell>
          <cell r="L406" t="str">
            <v>RRRRG</v>
          </cell>
          <cell r="M406" t="str">
            <v>R</v>
          </cell>
          <cell r="N406" t="str">
            <v>R</v>
          </cell>
          <cell r="O406" t="str">
            <v>R</v>
          </cell>
          <cell r="P406" t="str">
            <v>R</v>
          </cell>
          <cell r="Q406" t="str">
            <v>G</v>
          </cell>
          <cell r="R406" t="str">
            <v>-</v>
          </cell>
        </row>
        <row r="407">
          <cell r="A407">
            <v>363264</v>
          </cell>
          <cell r="B407">
            <v>149</v>
          </cell>
          <cell r="C407">
            <v>6147</v>
          </cell>
          <cell r="D407" t="str">
            <v>195/65 R15</v>
          </cell>
          <cell r="E407">
            <v>91</v>
          </cell>
          <cell r="F407" t="str">
            <v>T</v>
          </cell>
          <cell r="G407" t="str">
            <v>WINTER EXPERT</v>
          </cell>
          <cell r="H407">
            <v>363264</v>
          </cell>
          <cell r="I407">
            <v>52149</v>
          </cell>
          <cell r="J407">
            <v>0</v>
          </cell>
          <cell r="K407" t="str">
            <v>P4</v>
          </cell>
          <cell r="L407" t="str">
            <v>OORYR</v>
          </cell>
          <cell r="M407" t="str">
            <v>O</v>
          </cell>
          <cell r="N407" t="str">
            <v>O</v>
          </cell>
          <cell r="O407" t="str">
            <v>R</v>
          </cell>
          <cell r="P407" t="str">
            <v>Y</v>
          </cell>
          <cell r="Q407" t="str">
            <v>R</v>
          </cell>
          <cell r="R407" t="str">
            <v>-</v>
          </cell>
        </row>
        <row r="408">
          <cell r="A408">
            <v>363267</v>
          </cell>
          <cell r="B408">
            <v>258</v>
          </cell>
          <cell r="C408">
            <v>6047</v>
          </cell>
          <cell r="D408" t="str">
            <v>195/65 R15</v>
          </cell>
          <cell r="E408">
            <v>95</v>
          </cell>
          <cell r="F408" t="str">
            <v>T</v>
          </cell>
          <cell r="G408" t="str">
            <v>WINTER EXPERT</v>
          </cell>
          <cell r="H408">
            <v>363267</v>
          </cell>
          <cell r="I408">
            <v>52158</v>
          </cell>
          <cell r="J408">
            <v>0</v>
          </cell>
          <cell r="K408" t="str">
            <v>P4</v>
          </cell>
          <cell r="L408" t="str">
            <v>AAGOG</v>
          </cell>
          <cell r="M408" t="str">
            <v>A</v>
          </cell>
          <cell r="N408" t="str">
            <v>A</v>
          </cell>
          <cell r="O408" t="str">
            <v>G</v>
          </cell>
          <cell r="P408" t="str">
            <v>O</v>
          </cell>
          <cell r="Q408" t="str">
            <v>G</v>
          </cell>
          <cell r="R408" t="str">
            <v>-</v>
          </cell>
        </row>
        <row r="409">
          <cell r="A409">
            <v>363299</v>
          </cell>
          <cell r="B409">
            <v>798</v>
          </cell>
          <cell r="C409">
            <v>3043</v>
          </cell>
          <cell r="D409" t="str">
            <v>235/50 R18</v>
          </cell>
          <cell r="E409">
            <v>101</v>
          </cell>
          <cell r="F409" t="str">
            <v>V</v>
          </cell>
          <cell r="G409" t="str">
            <v>WINTEREXPERT XL</v>
          </cell>
          <cell r="H409">
            <v>363299</v>
          </cell>
          <cell r="I409">
            <v>52797</v>
          </cell>
          <cell r="J409">
            <v>0</v>
          </cell>
          <cell r="K409" t="str">
            <v>P4</v>
          </cell>
          <cell r="L409" t="str">
            <v>RWAO</v>
          </cell>
          <cell r="M409" t="str">
            <v>R</v>
          </cell>
          <cell r="N409" t="str">
            <v>W</v>
          </cell>
          <cell r="O409" t="str">
            <v>A</v>
          </cell>
          <cell r="P409" t="str">
            <v>O</v>
          </cell>
          <cell r="Q409" t="str">
            <v/>
          </cell>
          <cell r="R409" t="str">
            <v>-</v>
          </cell>
        </row>
        <row r="410">
          <cell r="A410">
            <v>363301</v>
          </cell>
          <cell r="B410">
            <v>826</v>
          </cell>
          <cell r="C410">
            <v>58003</v>
          </cell>
          <cell r="D410" t="str">
            <v>245/40 R18</v>
          </cell>
          <cell r="E410">
            <v>97</v>
          </cell>
          <cell r="F410" t="str">
            <v>V</v>
          </cell>
          <cell r="G410" t="str">
            <v>WINTEREXPERT XL</v>
          </cell>
          <cell r="H410">
            <v>363301</v>
          </cell>
          <cell r="I410">
            <v>52866</v>
          </cell>
          <cell r="J410">
            <v>0</v>
          </cell>
          <cell r="K410" t="str">
            <v>P4</v>
          </cell>
          <cell r="L410" t="str">
            <v>YYROW</v>
          </cell>
          <cell r="M410" t="str">
            <v>Y</v>
          </cell>
          <cell r="N410" t="str">
            <v>Y</v>
          </cell>
          <cell r="O410" t="str">
            <v>R</v>
          </cell>
          <cell r="P410" t="str">
            <v>O</v>
          </cell>
          <cell r="Q410" t="str">
            <v>W</v>
          </cell>
          <cell r="R410" t="str">
            <v>-</v>
          </cell>
        </row>
        <row r="411">
          <cell r="A411">
            <v>363332</v>
          </cell>
          <cell r="B411">
            <v>571</v>
          </cell>
          <cell r="C411">
            <v>2051</v>
          </cell>
          <cell r="D411" t="str">
            <v>195/60 R16</v>
          </cell>
          <cell r="E411">
            <v>89</v>
          </cell>
          <cell r="F411" t="str">
            <v>H</v>
          </cell>
          <cell r="G411" t="str">
            <v>WINTEREXPERT</v>
          </cell>
          <cell r="H411">
            <v>363332</v>
          </cell>
          <cell r="I411">
            <v>52571</v>
          </cell>
          <cell r="J411">
            <v>0</v>
          </cell>
          <cell r="K411" t="str">
            <v>P4</v>
          </cell>
          <cell r="L411" t="str">
            <v>AWAO</v>
          </cell>
          <cell r="M411" t="str">
            <v>A</v>
          </cell>
          <cell r="N411" t="str">
            <v>W</v>
          </cell>
          <cell r="O411" t="str">
            <v>A</v>
          </cell>
          <cell r="P411" t="str">
            <v>O</v>
          </cell>
          <cell r="Q411" t="str">
            <v/>
          </cell>
          <cell r="R411" t="str">
            <v>-</v>
          </cell>
        </row>
        <row r="412">
          <cell r="A412">
            <v>363341</v>
          </cell>
          <cell r="B412">
            <v>885</v>
          </cell>
          <cell r="C412">
            <v>6044</v>
          </cell>
          <cell r="D412" t="str">
            <v>185/55 R16</v>
          </cell>
          <cell r="E412">
            <v>87</v>
          </cell>
          <cell r="F412" t="str">
            <v>T</v>
          </cell>
          <cell r="G412" t="str">
            <v>WINTER EXPERT XL</v>
          </cell>
          <cell r="H412">
            <v>363341</v>
          </cell>
          <cell r="I412">
            <v>52795</v>
          </cell>
          <cell r="J412">
            <v>0</v>
          </cell>
          <cell r="K412" t="str">
            <v>P4</v>
          </cell>
          <cell r="L412" t="str">
            <v>WWY</v>
          </cell>
          <cell r="M412" t="str">
            <v>W</v>
          </cell>
          <cell r="N412" t="str">
            <v>W</v>
          </cell>
          <cell r="O412" t="str">
            <v>Y</v>
          </cell>
          <cell r="P412" t="str">
            <v/>
          </cell>
          <cell r="Q412" t="str">
            <v/>
          </cell>
          <cell r="R412" t="str">
            <v>-</v>
          </cell>
        </row>
        <row r="413">
          <cell r="A413">
            <v>363347</v>
          </cell>
          <cell r="B413">
            <v>102</v>
          </cell>
          <cell r="C413">
            <v>65</v>
          </cell>
          <cell r="D413" t="str">
            <v>195/50 R16</v>
          </cell>
          <cell r="E413">
            <v>88</v>
          </cell>
          <cell r="F413" t="str">
            <v>H</v>
          </cell>
          <cell r="G413" t="str">
            <v>WINTEREXPERT XL</v>
          </cell>
          <cell r="H413">
            <v>363347</v>
          </cell>
          <cell r="I413">
            <v>52102</v>
          </cell>
          <cell r="J413">
            <v>0</v>
          </cell>
          <cell r="K413" t="str">
            <v>P8</v>
          </cell>
          <cell r="L413" t="str">
            <v>AYY</v>
          </cell>
          <cell r="M413" t="str">
            <v>A</v>
          </cell>
          <cell r="N413" t="str">
            <v>Y</v>
          </cell>
          <cell r="O413" t="str">
            <v>Y</v>
          </cell>
          <cell r="P413" t="str">
            <v/>
          </cell>
          <cell r="Q413" t="str">
            <v/>
          </cell>
          <cell r="R413" t="str">
            <v>-</v>
          </cell>
        </row>
        <row r="414">
          <cell r="A414">
            <v>363348</v>
          </cell>
          <cell r="B414">
            <v>547</v>
          </cell>
          <cell r="C414">
            <v>4035</v>
          </cell>
          <cell r="D414" t="str">
            <v>205/50 R17</v>
          </cell>
          <cell r="E414">
            <v>93</v>
          </cell>
          <cell r="F414" t="str">
            <v>V</v>
          </cell>
          <cell r="G414" t="str">
            <v>WINTEREXPERT XL</v>
          </cell>
          <cell r="H414">
            <v>363348</v>
          </cell>
          <cell r="I414">
            <v>52546</v>
          </cell>
          <cell r="J414">
            <v>0</v>
          </cell>
          <cell r="K414" t="str">
            <v>P4</v>
          </cell>
          <cell r="L414" t="str">
            <v>AAAG</v>
          </cell>
          <cell r="M414" t="str">
            <v>A</v>
          </cell>
          <cell r="N414" t="str">
            <v>A</v>
          </cell>
          <cell r="O414" t="str">
            <v>A</v>
          </cell>
          <cell r="P414" t="str">
            <v>G</v>
          </cell>
          <cell r="Q414" t="str">
            <v/>
          </cell>
          <cell r="R414" t="str">
            <v>-</v>
          </cell>
        </row>
        <row r="415">
          <cell r="A415">
            <v>363351</v>
          </cell>
          <cell r="B415">
            <v>842</v>
          </cell>
          <cell r="C415">
            <v>58042</v>
          </cell>
          <cell r="D415" t="str">
            <v>205/45 R17</v>
          </cell>
          <cell r="E415">
            <v>88</v>
          </cell>
          <cell r="F415" t="str">
            <v>V</v>
          </cell>
          <cell r="G415" t="str">
            <v>WINTEREXPERT XL</v>
          </cell>
          <cell r="H415">
            <v>363351</v>
          </cell>
          <cell r="I415">
            <v>52742</v>
          </cell>
          <cell r="J415">
            <v>0</v>
          </cell>
          <cell r="K415" t="str">
            <v>P4</v>
          </cell>
          <cell r="L415" t="str">
            <v>RGO</v>
          </cell>
          <cell r="M415" t="str">
            <v>R</v>
          </cell>
          <cell r="N415" t="str">
            <v>G</v>
          </cell>
          <cell r="O415" t="str">
            <v>O</v>
          </cell>
          <cell r="P415" t="str">
            <v/>
          </cell>
          <cell r="Q415" t="str">
            <v/>
          </cell>
          <cell r="R415" t="str">
            <v>-</v>
          </cell>
        </row>
        <row r="416">
          <cell r="A416">
            <v>363361</v>
          </cell>
          <cell r="B416" t="str">
            <v>-</v>
          </cell>
          <cell r="C416">
            <v>3142</v>
          </cell>
          <cell r="D416" t="str">
            <v>235/55 R18</v>
          </cell>
          <cell r="E416">
            <v>104</v>
          </cell>
          <cell r="F416" t="str">
            <v>V</v>
          </cell>
          <cell r="G416" t="str">
            <v>WINTEREXPERT XL</v>
          </cell>
          <cell r="H416">
            <v>363361</v>
          </cell>
          <cell r="I416">
            <v>52581</v>
          </cell>
          <cell r="J416">
            <v>0</v>
          </cell>
          <cell r="K416" t="str">
            <v>P4</v>
          </cell>
          <cell r="L416" t="str">
            <v>YRRYR</v>
          </cell>
          <cell r="M416" t="str">
            <v>Y</v>
          </cell>
          <cell r="N416" t="str">
            <v>R</v>
          </cell>
          <cell r="O416" t="str">
            <v>R</v>
          </cell>
          <cell r="P416" t="str">
            <v>Y</v>
          </cell>
          <cell r="Q416" t="str">
            <v>R</v>
          </cell>
          <cell r="R416" t="str">
            <v>-</v>
          </cell>
        </row>
        <row r="417">
          <cell r="A417">
            <v>363365</v>
          </cell>
          <cell r="B417">
            <v>892</v>
          </cell>
          <cell r="C417">
            <v>6043</v>
          </cell>
          <cell r="D417" t="str">
            <v>235/50 R19</v>
          </cell>
          <cell r="E417">
            <v>103</v>
          </cell>
          <cell r="F417" t="str">
            <v>V</v>
          </cell>
          <cell r="G417" t="str">
            <v>WINTER EXPERT XL</v>
          </cell>
          <cell r="H417">
            <v>363365</v>
          </cell>
          <cell r="I417">
            <v>52792</v>
          </cell>
          <cell r="J417">
            <v>0</v>
          </cell>
          <cell r="K417" t="str">
            <v>P4</v>
          </cell>
          <cell r="L417" t="str">
            <v>AGAGG</v>
          </cell>
          <cell r="M417" t="str">
            <v>A</v>
          </cell>
          <cell r="N417" t="str">
            <v>G</v>
          </cell>
          <cell r="O417" t="str">
            <v>A</v>
          </cell>
          <cell r="P417" t="str">
            <v>G</v>
          </cell>
          <cell r="Q417" t="str">
            <v>G</v>
          </cell>
          <cell r="R417" t="str">
            <v>-</v>
          </cell>
        </row>
        <row r="418">
          <cell r="A418">
            <v>363369</v>
          </cell>
          <cell r="B418">
            <v>162</v>
          </cell>
          <cell r="C418">
            <v>6247</v>
          </cell>
          <cell r="D418" t="str">
            <v>195/65 R15</v>
          </cell>
          <cell r="E418">
            <v>91</v>
          </cell>
          <cell r="F418" t="str">
            <v>H</v>
          </cell>
          <cell r="G418" t="str">
            <v>WINTEREXPERT</v>
          </cell>
          <cell r="H418">
            <v>363369</v>
          </cell>
          <cell r="I418">
            <v>52161</v>
          </cell>
          <cell r="J418">
            <v>0</v>
          </cell>
          <cell r="K418" t="str">
            <v>P4</v>
          </cell>
          <cell r="L418" t="str">
            <v>GWWO</v>
          </cell>
          <cell r="M418" t="str">
            <v>G</v>
          </cell>
          <cell r="N418" t="str">
            <v>W</v>
          </cell>
          <cell r="O418" t="str">
            <v>W</v>
          </cell>
          <cell r="P418" t="str">
            <v>O</v>
          </cell>
          <cell r="Q418" t="str">
            <v/>
          </cell>
          <cell r="R418" t="str">
            <v>-</v>
          </cell>
        </row>
        <row r="419">
          <cell r="A419">
            <v>363371</v>
          </cell>
          <cell r="B419">
            <v>237</v>
          </cell>
          <cell r="C419">
            <v>4056</v>
          </cell>
          <cell r="D419" t="str">
            <v>205/45 R16</v>
          </cell>
          <cell r="E419">
            <v>87</v>
          </cell>
          <cell r="F419" t="str">
            <v>H</v>
          </cell>
          <cell r="G419" t="str">
            <v>ALLSEASONEXPERT 2 XL</v>
          </cell>
          <cell r="H419">
            <v>363371</v>
          </cell>
          <cell r="I419">
            <v>52237</v>
          </cell>
          <cell r="J419">
            <v>0</v>
          </cell>
          <cell r="K419" t="str">
            <v>P4</v>
          </cell>
          <cell r="L419" t="str">
            <v>AGWO</v>
          </cell>
          <cell r="M419" t="str">
            <v>A</v>
          </cell>
          <cell r="N419" t="str">
            <v>G</v>
          </cell>
          <cell r="O419" t="str">
            <v>W</v>
          </cell>
          <cell r="P419" t="str">
            <v>O</v>
          </cell>
          <cell r="Q419" t="str">
            <v/>
          </cell>
          <cell r="R419" t="str">
            <v>-</v>
          </cell>
        </row>
        <row r="420">
          <cell r="A420">
            <v>363382</v>
          </cell>
          <cell r="B420" t="str">
            <v>-</v>
          </cell>
          <cell r="C420">
            <v>4123</v>
          </cell>
          <cell r="D420" t="str">
            <v>225/55 R18</v>
          </cell>
          <cell r="E420">
            <v>102</v>
          </cell>
          <cell r="F420" t="str">
            <v>V</v>
          </cell>
          <cell r="G420" t="str">
            <v>ALLSEASONEXPERT 2 XL</v>
          </cell>
          <cell r="H420">
            <v>363382</v>
          </cell>
          <cell r="I420">
            <v>52445</v>
          </cell>
          <cell r="J420">
            <v>0</v>
          </cell>
          <cell r="K420" t="str">
            <v>P0</v>
          </cell>
          <cell r="L420" t="str">
            <v>YYYRW</v>
          </cell>
          <cell r="M420" t="str">
            <v>Y</v>
          </cell>
          <cell r="N420" t="str">
            <v>Y</v>
          </cell>
          <cell r="O420" t="str">
            <v>Y</v>
          </cell>
          <cell r="P420" t="str">
            <v>R</v>
          </cell>
          <cell r="Q420" t="str">
            <v>W</v>
          </cell>
          <cell r="R420" t="str">
            <v>-</v>
          </cell>
        </row>
        <row r="421">
          <cell r="A421">
            <v>363385</v>
          </cell>
          <cell r="B421">
            <v>820</v>
          </cell>
          <cell r="C421">
            <v>5044</v>
          </cell>
          <cell r="D421" t="str">
            <v>155/60 R15</v>
          </cell>
          <cell r="E421">
            <v>74</v>
          </cell>
          <cell r="F421" t="str">
            <v>T</v>
          </cell>
          <cell r="G421" t="str">
            <v>ALLSEASONEXPERT</v>
          </cell>
          <cell r="H421">
            <v>363385</v>
          </cell>
          <cell r="I421">
            <v>52819</v>
          </cell>
          <cell r="J421">
            <v>0</v>
          </cell>
          <cell r="K421" t="str">
            <v>P8</v>
          </cell>
          <cell r="L421" t="str">
            <v>ARO</v>
          </cell>
          <cell r="M421" t="str">
            <v>A</v>
          </cell>
          <cell r="N421" t="str">
            <v>R</v>
          </cell>
          <cell r="O421" t="str">
            <v>O</v>
          </cell>
          <cell r="P421" t="str">
            <v/>
          </cell>
          <cell r="Q421" t="str">
            <v/>
          </cell>
          <cell r="R421" t="str">
            <v>-</v>
          </cell>
        </row>
        <row r="422">
          <cell r="A422">
            <v>363387</v>
          </cell>
          <cell r="B422">
            <v>920</v>
          </cell>
          <cell r="C422">
            <v>58031</v>
          </cell>
          <cell r="D422" t="str">
            <v>205/40 R18</v>
          </cell>
          <cell r="E422">
            <v>86</v>
          </cell>
          <cell r="F422" t="str">
            <v>Y</v>
          </cell>
          <cell r="G422" t="str">
            <v>ALLSEASON XL</v>
          </cell>
          <cell r="H422">
            <v>363387</v>
          </cell>
          <cell r="I422">
            <v>52820</v>
          </cell>
          <cell r="J422">
            <v>0</v>
          </cell>
          <cell r="K422" t="str">
            <v>P4</v>
          </cell>
          <cell r="L422" t="str">
            <v>GGYY</v>
          </cell>
          <cell r="M422" t="str">
            <v>G</v>
          </cell>
          <cell r="N422" t="str">
            <v>G</v>
          </cell>
          <cell r="O422" t="str">
            <v>Y</v>
          </cell>
          <cell r="P422" t="str">
            <v>Y</v>
          </cell>
          <cell r="Q422" t="str">
            <v/>
          </cell>
          <cell r="R422" t="str">
            <v>-</v>
          </cell>
        </row>
        <row r="423">
          <cell r="A423">
            <v>363395</v>
          </cell>
          <cell r="B423">
            <v>927</v>
          </cell>
          <cell r="C423">
            <v>3036</v>
          </cell>
          <cell r="D423" t="str">
            <v>195/45 R16</v>
          </cell>
          <cell r="E423">
            <v>84</v>
          </cell>
          <cell r="F423" t="str">
            <v>V</v>
          </cell>
          <cell r="G423" t="str">
            <v>ALLSEASONEXPERT XL</v>
          </cell>
          <cell r="H423">
            <v>363395</v>
          </cell>
          <cell r="I423">
            <v>52577</v>
          </cell>
          <cell r="J423">
            <v>0</v>
          </cell>
          <cell r="K423" t="str">
            <v>P8</v>
          </cell>
          <cell r="L423" t="str">
            <v>GOGWG</v>
          </cell>
          <cell r="M423" t="str">
            <v>G</v>
          </cell>
          <cell r="N423" t="str">
            <v>O</v>
          </cell>
          <cell r="O423" t="str">
            <v>G</v>
          </cell>
          <cell r="P423" t="str">
            <v>W</v>
          </cell>
          <cell r="Q423" t="str">
            <v>G</v>
          </cell>
          <cell r="R423" t="str">
            <v>-</v>
          </cell>
        </row>
        <row r="424">
          <cell r="A424">
            <v>363555</v>
          </cell>
          <cell r="B424" t="str">
            <v>-</v>
          </cell>
          <cell r="C424">
            <v>3056</v>
          </cell>
          <cell r="D424" t="str">
            <v>185/60 R15</v>
          </cell>
          <cell r="E424">
            <v>88</v>
          </cell>
          <cell r="F424" t="str">
            <v>H</v>
          </cell>
          <cell r="G424" t="str">
            <v>ALLSEASONEXPERT 3 XL</v>
          </cell>
          <cell r="H424">
            <v>363555</v>
          </cell>
          <cell r="I424">
            <v>52433</v>
          </cell>
          <cell r="J424">
            <v>0</v>
          </cell>
          <cell r="K424" t="str">
            <v>P2</v>
          </cell>
          <cell r="L424" t="str">
            <v>GAW</v>
          </cell>
          <cell r="M424" t="str">
            <v>G</v>
          </cell>
          <cell r="N424" t="str">
            <v>A</v>
          </cell>
          <cell r="O424" t="str">
            <v>W</v>
          </cell>
          <cell r="P424" t="str">
            <v/>
          </cell>
          <cell r="Q424" t="str">
            <v/>
          </cell>
          <cell r="R424" t="str">
            <v>-</v>
          </cell>
        </row>
        <row r="425">
          <cell r="A425">
            <v>363587</v>
          </cell>
          <cell r="B425" t="str">
            <v>-</v>
          </cell>
          <cell r="C425">
            <v>58006</v>
          </cell>
          <cell r="D425" t="str">
            <v>215/40 R17</v>
          </cell>
          <cell r="E425">
            <v>87</v>
          </cell>
          <cell r="F425" t="str">
            <v>V</v>
          </cell>
          <cell r="G425" t="str">
            <v>ALLSEASONEXPERT 3 XL</v>
          </cell>
          <cell r="H425">
            <v>363587</v>
          </cell>
          <cell r="I425">
            <v>52533</v>
          </cell>
          <cell r="J425">
            <v>0</v>
          </cell>
          <cell r="K425" t="str">
            <v>P2</v>
          </cell>
          <cell r="L425" t="str">
            <v>OGGGG</v>
          </cell>
          <cell r="M425" t="str">
            <v>O</v>
          </cell>
          <cell r="N425" t="str">
            <v>G</v>
          </cell>
          <cell r="O425" t="str">
            <v>G</v>
          </cell>
          <cell r="P425" t="str">
            <v>G</v>
          </cell>
          <cell r="Q425" t="str">
            <v>G</v>
          </cell>
          <cell r="R425" t="str">
            <v>-</v>
          </cell>
        </row>
        <row r="426">
          <cell r="A426">
            <v>363642</v>
          </cell>
          <cell r="B426" t="str">
            <v>-</v>
          </cell>
          <cell r="C426">
            <v>58074</v>
          </cell>
          <cell r="D426" t="str">
            <v>245/40 R18</v>
          </cell>
          <cell r="E426">
            <v>97</v>
          </cell>
          <cell r="F426" t="str">
            <v>Y</v>
          </cell>
          <cell r="G426" t="str">
            <v>ALLSEASONEXPERT 3 XL</v>
          </cell>
          <cell r="H426">
            <v>363642</v>
          </cell>
          <cell r="I426">
            <v>52488</v>
          </cell>
          <cell r="J426">
            <v>0</v>
          </cell>
          <cell r="K426" t="str">
            <v>P2</v>
          </cell>
          <cell r="L426" t="str">
            <v>YYYWW</v>
          </cell>
          <cell r="M426" t="str">
            <v>Y</v>
          </cell>
          <cell r="N426" t="str">
            <v>Y</v>
          </cell>
          <cell r="O426" t="str">
            <v>Y</v>
          </cell>
          <cell r="P426" t="str">
            <v>W</v>
          </cell>
          <cell r="Q426" t="str">
            <v>W</v>
          </cell>
          <cell r="R426" t="str">
            <v>-</v>
          </cell>
        </row>
        <row r="427">
          <cell r="A427">
            <v>363643</v>
          </cell>
          <cell r="B427" t="str">
            <v>-</v>
          </cell>
          <cell r="C427">
            <v>6031</v>
          </cell>
          <cell r="D427" t="str">
            <v>205/55 R19</v>
          </cell>
          <cell r="E427">
            <v>97</v>
          </cell>
          <cell r="F427" t="str">
            <v>V</v>
          </cell>
          <cell r="G427" t="str">
            <v>ALLSEASONEXPERT XL</v>
          </cell>
          <cell r="H427">
            <v>363643</v>
          </cell>
          <cell r="I427">
            <v>52287</v>
          </cell>
          <cell r="J427">
            <v>0</v>
          </cell>
          <cell r="K427" t="str">
            <v>P2</v>
          </cell>
          <cell r="L427" t="str">
            <v>GAYAA</v>
          </cell>
          <cell r="M427" t="str">
            <v>G</v>
          </cell>
          <cell r="N427" t="str">
            <v>A</v>
          </cell>
          <cell r="O427" t="str">
            <v>Y</v>
          </cell>
          <cell r="P427" t="str">
            <v>A</v>
          </cell>
          <cell r="Q427" t="str">
            <v>A</v>
          </cell>
          <cell r="R427" t="str">
            <v>-</v>
          </cell>
        </row>
        <row r="428">
          <cell r="A428">
            <v>363648</v>
          </cell>
          <cell r="B428" t="str">
            <v>-</v>
          </cell>
          <cell r="C428">
            <v>6005</v>
          </cell>
          <cell r="D428" t="str">
            <v>235/50 R19</v>
          </cell>
          <cell r="E428">
            <v>103</v>
          </cell>
          <cell r="F428" t="str">
            <v>W</v>
          </cell>
          <cell r="G428" t="str">
            <v>ALLSEASONEXPERT 3 XL</v>
          </cell>
          <cell r="H428">
            <v>363648</v>
          </cell>
          <cell r="I428">
            <v>52505</v>
          </cell>
          <cell r="J428">
            <v>0</v>
          </cell>
          <cell r="K428" t="str">
            <v>P2</v>
          </cell>
          <cell r="L428" t="str">
            <v>AAWWR</v>
          </cell>
          <cell r="M428" t="str">
            <v>A</v>
          </cell>
          <cell r="N428" t="str">
            <v>A</v>
          </cell>
          <cell r="O428" t="str">
            <v>W</v>
          </cell>
          <cell r="P428" t="str">
            <v>W</v>
          </cell>
          <cell r="Q428" t="str">
            <v>R</v>
          </cell>
          <cell r="R428" t="str">
            <v>-</v>
          </cell>
        </row>
        <row r="429">
          <cell r="A429">
            <v>372089</v>
          </cell>
          <cell r="B429">
            <v>562</v>
          </cell>
          <cell r="C429">
            <v>4044</v>
          </cell>
          <cell r="D429" t="str">
            <v>175/55 R15</v>
          </cell>
          <cell r="E429">
            <v>77</v>
          </cell>
          <cell r="F429" t="str">
            <v>T</v>
          </cell>
          <cell r="G429" t="str">
            <v>COMFORT LIFE 2</v>
          </cell>
          <cell r="H429">
            <v>372089</v>
          </cell>
          <cell r="I429">
            <v>52062</v>
          </cell>
          <cell r="J429">
            <v>0</v>
          </cell>
          <cell r="K429" t="str">
            <v>P4</v>
          </cell>
          <cell r="L429" t="str">
            <v>RW</v>
          </cell>
          <cell r="M429" t="str">
            <v>R</v>
          </cell>
          <cell r="N429" t="str">
            <v>W</v>
          </cell>
          <cell r="O429" t="str">
            <v/>
          </cell>
          <cell r="P429" t="str">
            <v/>
          </cell>
          <cell r="Q429" t="str">
            <v/>
          </cell>
          <cell r="R429" t="str">
            <v>-</v>
          </cell>
        </row>
        <row r="430">
          <cell r="A430">
            <v>372302</v>
          </cell>
          <cell r="B430">
            <v>654</v>
          </cell>
          <cell r="C430">
            <v>2084</v>
          </cell>
          <cell r="D430" t="str">
            <v>215/45 R17</v>
          </cell>
          <cell r="E430">
            <v>87</v>
          </cell>
          <cell r="F430" t="str">
            <v>V</v>
          </cell>
          <cell r="G430" t="str">
            <v>SPEED LIFE 2</v>
          </cell>
          <cell r="H430">
            <v>372302</v>
          </cell>
          <cell r="I430">
            <v>52559</v>
          </cell>
          <cell r="J430">
            <v>0</v>
          </cell>
          <cell r="K430" t="str">
            <v>P4</v>
          </cell>
          <cell r="L430" t="str">
            <v>YYOY</v>
          </cell>
          <cell r="M430" t="str">
            <v>Y</v>
          </cell>
          <cell r="N430" t="str">
            <v>Y</v>
          </cell>
          <cell r="O430" t="str">
            <v>O</v>
          </cell>
          <cell r="P430" t="str">
            <v>Y</v>
          </cell>
          <cell r="Q430" t="str">
            <v/>
          </cell>
          <cell r="R430" t="str">
            <v>-</v>
          </cell>
        </row>
        <row r="431">
          <cell r="A431">
            <v>372408</v>
          </cell>
          <cell r="B431">
            <v>583</v>
          </cell>
          <cell r="C431">
            <v>2032</v>
          </cell>
          <cell r="D431" t="str">
            <v>165/60 R15</v>
          </cell>
          <cell r="E431">
            <v>77</v>
          </cell>
          <cell r="F431" t="str">
            <v>H</v>
          </cell>
          <cell r="G431" t="str">
            <v>COMFORT LIFE 2</v>
          </cell>
          <cell r="H431">
            <v>372408</v>
          </cell>
          <cell r="I431">
            <v>52383</v>
          </cell>
          <cell r="J431">
            <v>0</v>
          </cell>
          <cell r="K431" t="str">
            <v>P8</v>
          </cell>
          <cell r="L431" t="str">
            <v>AAAGW</v>
          </cell>
          <cell r="M431" t="str">
            <v>A</v>
          </cell>
          <cell r="N431" t="str">
            <v>A</v>
          </cell>
          <cell r="O431" t="str">
            <v>A</v>
          </cell>
          <cell r="P431" t="str">
            <v>G</v>
          </cell>
          <cell r="Q431" t="str">
            <v>W</v>
          </cell>
          <cell r="R431" t="str">
            <v>-</v>
          </cell>
        </row>
        <row r="432">
          <cell r="A432">
            <v>372487</v>
          </cell>
          <cell r="B432">
            <v>4</v>
          </cell>
          <cell r="C432">
            <v>23</v>
          </cell>
          <cell r="D432" t="str">
            <v>185/60 R15</v>
          </cell>
          <cell r="E432">
            <v>88</v>
          </cell>
          <cell r="F432" t="str">
            <v>H</v>
          </cell>
          <cell r="G432" t="str">
            <v>SPEED LIFE 3 XL</v>
          </cell>
          <cell r="H432">
            <v>372487</v>
          </cell>
          <cell r="I432">
            <v>52830</v>
          </cell>
          <cell r="J432">
            <v>0</v>
          </cell>
          <cell r="K432" t="str">
            <v>P8</v>
          </cell>
          <cell r="L432" t="str">
            <v>YWWR</v>
          </cell>
          <cell r="M432" t="str">
            <v>Y</v>
          </cell>
          <cell r="N432" t="str">
            <v>W</v>
          </cell>
          <cell r="O432" t="str">
            <v>W</v>
          </cell>
          <cell r="P432" t="str">
            <v>R</v>
          </cell>
          <cell r="Q432" t="str">
            <v/>
          </cell>
          <cell r="R432" t="str">
            <v>-</v>
          </cell>
        </row>
        <row r="433">
          <cell r="A433">
            <v>372502</v>
          </cell>
          <cell r="B433" t="str">
            <v>-</v>
          </cell>
          <cell r="C433">
            <v>2007</v>
          </cell>
          <cell r="D433" t="str">
            <v>205/40 R17</v>
          </cell>
          <cell r="E433">
            <v>84</v>
          </cell>
          <cell r="F433" t="str">
            <v>W</v>
          </cell>
          <cell r="G433" t="str">
            <v>SPEED LIFE 3 XL</v>
          </cell>
          <cell r="H433">
            <v>372502</v>
          </cell>
          <cell r="I433">
            <v>52699</v>
          </cell>
          <cell r="J433">
            <v>0</v>
          </cell>
          <cell r="K433" t="str">
            <v>P4</v>
          </cell>
          <cell r="L433" t="str">
            <v>YOAWO</v>
          </cell>
          <cell r="M433" t="str">
            <v>Y</v>
          </cell>
          <cell r="N433" t="str">
            <v>O</v>
          </cell>
          <cell r="O433" t="str">
            <v>A</v>
          </cell>
          <cell r="P433" t="str">
            <v>W</v>
          </cell>
          <cell r="Q433" t="str">
            <v>O</v>
          </cell>
          <cell r="R433" t="str">
            <v>-</v>
          </cell>
        </row>
        <row r="434">
          <cell r="A434">
            <v>372506</v>
          </cell>
          <cell r="B434" t="str">
            <v>-</v>
          </cell>
          <cell r="C434">
            <v>2057</v>
          </cell>
          <cell r="D434" t="str">
            <v>205/45 R17</v>
          </cell>
          <cell r="E434">
            <v>88</v>
          </cell>
          <cell r="F434" t="str">
            <v>Y</v>
          </cell>
          <cell r="G434" t="str">
            <v>SPEED LIFE 3 XL</v>
          </cell>
          <cell r="H434">
            <v>372506</v>
          </cell>
          <cell r="I434">
            <v>52716</v>
          </cell>
          <cell r="J434">
            <v>0</v>
          </cell>
          <cell r="K434" t="str">
            <v>P4</v>
          </cell>
          <cell r="L434" t="str">
            <v>OWWGO</v>
          </cell>
          <cell r="M434" t="str">
            <v>O</v>
          </cell>
          <cell r="N434" t="str">
            <v>W</v>
          </cell>
          <cell r="O434" t="str">
            <v>W</v>
          </cell>
          <cell r="P434" t="str">
            <v>G</v>
          </cell>
          <cell r="Q434" t="str">
            <v>O</v>
          </cell>
          <cell r="R434" t="str">
            <v>-</v>
          </cell>
        </row>
        <row r="435">
          <cell r="A435">
            <v>372519</v>
          </cell>
          <cell r="B435" t="str">
            <v>-</v>
          </cell>
          <cell r="C435">
            <v>2068</v>
          </cell>
          <cell r="D435" t="str">
            <v>205/55 R17</v>
          </cell>
          <cell r="E435">
            <v>95</v>
          </cell>
          <cell r="F435" t="str">
            <v>V</v>
          </cell>
          <cell r="G435" t="str">
            <v>SPEED LIFE 3 XL</v>
          </cell>
          <cell r="H435">
            <v>372519</v>
          </cell>
          <cell r="I435">
            <v>52736</v>
          </cell>
          <cell r="J435">
            <v>0</v>
          </cell>
          <cell r="K435" t="str">
            <v>P4</v>
          </cell>
          <cell r="L435" t="str">
            <v>YGGWW</v>
          </cell>
          <cell r="M435" t="str">
            <v>Y</v>
          </cell>
          <cell r="N435" t="str">
            <v>G</v>
          </cell>
          <cell r="O435" t="str">
            <v>G</v>
          </cell>
          <cell r="P435" t="str">
            <v>W</v>
          </cell>
          <cell r="Q435" t="str">
            <v>W</v>
          </cell>
          <cell r="R435" t="str">
            <v>-</v>
          </cell>
        </row>
        <row r="436">
          <cell r="A436">
            <v>372523</v>
          </cell>
          <cell r="B436" t="str">
            <v>-</v>
          </cell>
          <cell r="C436">
            <v>5004</v>
          </cell>
          <cell r="D436" t="str">
            <v>215/40 R17</v>
          </cell>
          <cell r="E436">
            <v>87</v>
          </cell>
          <cell r="F436" t="str">
            <v>Y</v>
          </cell>
          <cell r="G436" t="str">
            <v>SPEED LIFE 3 XL</v>
          </cell>
          <cell r="H436">
            <v>372523</v>
          </cell>
          <cell r="I436">
            <v>52379</v>
          </cell>
          <cell r="J436">
            <v>0</v>
          </cell>
          <cell r="K436" t="str">
            <v>P4</v>
          </cell>
          <cell r="L436" t="str">
            <v>YYGRY</v>
          </cell>
          <cell r="M436" t="str">
            <v>Y</v>
          </cell>
          <cell r="N436" t="str">
            <v>Y</v>
          </cell>
          <cell r="O436" t="str">
            <v>G</v>
          </cell>
          <cell r="P436" t="str">
            <v>R</v>
          </cell>
          <cell r="Q436" t="str">
            <v>Y</v>
          </cell>
          <cell r="R436" t="str">
            <v>-</v>
          </cell>
        </row>
        <row r="437">
          <cell r="A437">
            <v>372524</v>
          </cell>
          <cell r="B437" t="str">
            <v>-</v>
          </cell>
          <cell r="C437">
            <v>4248</v>
          </cell>
          <cell r="D437" t="str">
            <v>215/45 R17</v>
          </cell>
          <cell r="E437">
            <v>91</v>
          </cell>
          <cell r="F437" t="str">
            <v>Y</v>
          </cell>
          <cell r="G437" t="str">
            <v>SPEED LIFE 3 XL</v>
          </cell>
          <cell r="H437">
            <v>372524</v>
          </cell>
          <cell r="I437">
            <v>52180</v>
          </cell>
          <cell r="J437">
            <v>0</v>
          </cell>
          <cell r="K437" t="str">
            <v>P4</v>
          </cell>
          <cell r="L437" t="str">
            <v>GGWWR</v>
          </cell>
          <cell r="M437" t="str">
            <v>G</v>
          </cell>
          <cell r="N437" t="str">
            <v>G</v>
          </cell>
          <cell r="O437" t="str">
            <v>W</v>
          </cell>
          <cell r="P437" t="str">
            <v>W</v>
          </cell>
          <cell r="Q437" t="str">
            <v>R</v>
          </cell>
          <cell r="R437" t="str">
            <v>-</v>
          </cell>
        </row>
        <row r="438">
          <cell r="A438">
            <v>372525</v>
          </cell>
          <cell r="B438">
            <v>857</v>
          </cell>
          <cell r="C438">
            <v>2179</v>
          </cell>
          <cell r="D438" t="str">
            <v>215/50 R17</v>
          </cell>
          <cell r="E438">
            <v>91</v>
          </cell>
          <cell r="F438" t="str">
            <v>Y</v>
          </cell>
          <cell r="G438" t="str">
            <v>SPEED LIFE 3</v>
          </cell>
          <cell r="H438">
            <v>372525</v>
          </cell>
          <cell r="I438">
            <v>52492</v>
          </cell>
          <cell r="J438">
            <v>0</v>
          </cell>
          <cell r="K438" t="str">
            <v>P4</v>
          </cell>
          <cell r="L438" t="str">
            <v>GGAG</v>
          </cell>
          <cell r="M438" t="str">
            <v>G</v>
          </cell>
          <cell r="N438" t="str">
            <v>G</v>
          </cell>
          <cell r="O438" t="str">
            <v>A</v>
          </cell>
          <cell r="P438" t="str">
            <v>G</v>
          </cell>
          <cell r="Q438" t="str">
            <v/>
          </cell>
          <cell r="R438" t="str">
            <v>-</v>
          </cell>
        </row>
        <row r="439">
          <cell r="A439">
            <v>372526</v>
          </cell>
          <cell r="B439" t="str">
            <v>-</v>
          </cell>
          <cell r="C439">
            <v>2079</v>
          </cell>
          <cell r="D439" t="str">
            <v>215/50 R17</v>
          </cell>
          <cell r="E439">
            <v>95</v>
          </cell>
          <cell r="F439" t="str">
            <v>Y</v>
          </cell>
          <cell r="G439" t="str">
            <v>SPEED LIFE 3 XL</v>
          </cell>
          <cell r="H439">
            <v>372526</v>
          </cell>
          <cell r="I439">
            <v>52836</v>
          </cell>
          <cell r="J439">
            <v>0</v>
          </cell>
          <cell r="K439" t="str">
            <v>P4</v>
          </cell>
          <cell r="L439" t="str">
            <v>GGOG</v>
          </cell>
          <cell r="M439" t="str">
            <v>G</v>
          </cell>
          <cell r="N439" t="str">
            <v>G</v>
          </cell>
          <cell r="O439" t="str">
            <v>O</v>
          </cell>
          <cell r="P439" t="str">
            <v>G</v>
          </cell>
          <cell r="Q439" t="str">
            <v/>
          </cell>
          <cell r="R439" t="str">
            <v>-</v>
          </cell>
        </row>
        <row r="440">
          <cell r="A440">
            <v>372532</v>
          </cell>
          <cell r="B440" t="str">
            <v>-</v>
          </cell>
          <cell r="C440">
            <v>2045</v>
          </cell>
          <cell r="D440" t="str">
            <v>215/55 R18</v>
          </cell>
          <cell r="E440">
            <v>99</v>
          </cell>
          <cell r="F440" t="str">
            <v>V</v>
          </cell>
          <cell r="G440" t="str">
            <v>SPEED LIFE 3 XL</v>
          </cell>
          <cell r="H440">
            <v>372532</v>
          </cell>
          <cell r="I440">
            <v>52702</v>
          </cell>
          <cell r="J440">
            <v>0</v>
          </cell>
          <cell r="K440" t="str">
            <v>P4</v>
          </cell>
          <cell r="L440" t="str">
            <v>RGGWA</v>
          </cell>
          <cell r="M440" t="str">
            <v>R</v>
          </cell>
          <cell r="N440" t="str">
            <v>G</v>
          </cell>
          <cell r="O440" t="str">
            <v>G</v>
          </cell>
          <cell r="P440" t="str">
            <v>W</v>
          </cell>
          <cell r="Q440" t="str">
            <v>A</v>
          </cell>
          <cell r="R440" t="str">
            <v>-</v>
          </cell>
        </row>
        <row r="441">
          <cell r="A441">
            <v>372543</v>
          </cell>
          <cell r="B441">
            <v>442</v>
          </cell>
          <cell r="C441">
            <v>2093</v>
          </cell>
          <cell r="D441" t="str">
            <v>225/45 R17</v>
          </cell>
          <cell r="E441">
            <v>91</v>
          </cell>
          <cell r="F441" t="str">
            <v>Y</v>
          </cell>
          <cell r="G441" t="str">
            <v>SPEED LIFE 3 XL</v>
          </cell>
          <cell r="H441">
            <v>372543</v>
          </cell>
          <cell r="I441">
            <v>52441</v>
          </cell>
          <cell r="J441">
            <v>0</v>
          </cell>
          <cell r="K441" t="str">
            <v>P4</v>
          </cell>
          <cell r="L441" t="str">
            <v>ROGRO</v>
          </cell>
          <cell r="M441" t="str">
            <v>R</v>
          </cell>
          <cell r="N441" t="str">
            <v>O</v>
          </cell>
          <cell r="O441" t="str">
            <v>G</v>
          </cell>
          <cell r="P441" t="str">
            <v>R</v>
          </cell>
          <cell r="Q441" t="str">
            <v>O</v>
          </cell>
          <cell r="R441" t="str">
            <v>-</v>
          </cell>
        </row>
        <row r="442">
          <cell r="A442">
            <v>372544</v>
          </cell>
          <cell r="B442">
            <v>439</v>
          </cell>
          <cell r="C442">
            <v>2193</v>
          </cell>
          <cell r="D442" t="str">
            <v>225/45 R17</v>
          </cell>
          <cell r="E442">
            <v>94</v>
          </cell>
          <cell r="F442" t="str">
            <v>Y</v>
          </cell>
          <cell r="G442" t="str">
            <v>SPEED LIFE 3 XL</v>
          </cell>
          <cell r="H442">
            <v>372544</v>
          </cell>
          <cell r="I442">
            <v>52438</v>
          </cell>
          <cell r="J442">
            <v>0</v>
          </cell>
          <cell r="K442" t="str">
            <v>P4</v>
          </cell>
          <cell r="L442" t="str">
            <v>RWWOO</v>
          </cell>
          <cell r="M442" t="str">
            <v>R</v>
          </cell>
          <cell r="N442" t="str">
            <v>W</v>
          </cell>
          <cell r="O442" t="str">
            <v>W</v>
          </cell>
          <cell r="P442" t="str">
            <v>O</v>
          </cell>
          <cell r="Q442" t="str">
            <v>O</v>
          </cell>
          <cell r="R442" t="str">
            <v>-</v>
          </cell>
        </row>
        <row r="443">
          <cell r="A443">
            <v>372555</v>
          </cell>
          <cell r="B443">
            <v>853</v>
          </cell>
          <cell r="C443">
            <v>4049</v>
          </cell>
          <cell r="D443" t="str">
            <v>225/55 R18</v>
          </cell>
          <cell r="E443">
            <v>80</v>
          </cell>
          <cell r="F443" t="str">
            <v>V</v>
          </cell>
          <cell r="G443" t="str">
            <v>SPEED LIFE 3</v>
          </cell>
          <cell r="H443">
            <v>372555</v>
          </cell>
          <cell r="I443">
            <v>52854</v>
          </cell>
          <cell r="J443">
            <v>0</v>
          </cell>
          <cell r="K443" t="str">
            <v>P4</v>
          </cell>
          <cell r="L443" t="str">
            <v>RRRWG</v>
          </cell>
          <cell r="M443" t="str">
            <v>R</v>
          </cell>
          <cell r="N443" t="str">
            <v>R</v>
          </cell>
          <cell r="O443" t="str">
            <v>R</v>
          </cell>
          <cell r="P443" t="str">
            <v>W</v>
          </cell>
          <cell r="Q443" t="str">
            <v>G</v>
          </cell>
          <cell r="R443" t="str">
            <v>-</v>
          </cell>
        </row>
        <row r="444">
          <cell r="A444">
            <v>372556</v>
          </cell>
          <cell r="B444">
            <v>746</v>
          </cell>
          <cell r="C444">
            <v>6131</v>
          </cell>
          <cell r="D444" t="str">
            <v>225/65 R17</v>
          </cell>
          <cell r="E444">
            <v>106</v>
          </cell>
          <cell r="F444" t="str">
            <v>V</v>
          </cell>
          <cell r="G444" t="str">
            <v>SPEED LIFE 3 XL</v>
          </cell>
          <cell r="H444">
            <v>372556</v>
          </cell>
          <cell r="I444">
            <v>52746</v>
          </cell>
          <cell r="J444">
            <v>0</v>
          </cell>
          <cell r="K444" t="str">
            <v>R</v>
          </cell>
          <cell r="L444" t="str">
            <v>AGOYR</v>
          </cell>
          <cell r="M444" t="str">
            <v>A</v>
          </cell>
          <cell r="N444" t="str">
            <v>G</v>
          </cell>
          <cell r="O444" t="str">
            <v>O</v>
          </cell>
          <cell r="P444" t="str">
            <v>Y</v>
          </cell>
          <cell r="Q444" t="str">
            <v>R</v>
          </cell>
          <cell r="R444" t="str">
            <v>-</v>
          </cell>
        </row>
        <row r="445">
          <cell r="A445">
            <v>372562</v>
          </cell>
          <cell r="B445">
            <v>873</v>
          </cell>
          <cell r="C445">
            <v>4051</v>
          </cell>
          <cell r="D445" t="str">
            <v>235/45 R18</v>
          </cell>
          <cell r="E445">
            <v>98</v>
          </cell>
          <cell r="F445" t="str">
            <v>Y</v>
          </cell>
          <cell r="G445" t="str">
            <v>SPEED LIFE 3 XL</v>
          </cell>
          <cell r="H445">
            <v>372562</v>
          </cell>
          <cell r="I445">
            <v>52773</v>
          </cell>
          <cell r="J445">
            <v>0</v>
          </cell>
          <cell r="K445" t="str">
            <v>P4</v>
          </cell>
          <cell r="L445" t="str">
            <v>AOG</v>
          </cell>
          <cell r="M445" t="str">
            <v>A</v>
          </cell>
          <cell r="N445" t="str">
            <v>O</v>
          </cell>
          <cell r="O445" t="str">
            <v>G</v>
          </cell>
          <cell r="P445" t="str">
            <v/>
          </cell>
          <cell r="Q445" t="str">
            <v/>
          </cell>
          <cell r="R445" t="str">
            <v>-</v>
          </cell>
        </row>
        <row r="446">
          <cell r="A446">
            <v>372564</v>
          </cell>
          <cell r="B446" t="str">
            <v>-</v>
          </cell>
          <cell r="C446">
            <v>3015</v>
          </cell>
          <cell r="D446" t="str">
            <v>235/55 R17</v>
          </cell>
          <cell r="E446">
            <v>99</v>
          </cell>
          <cell r="F446" t="str">
            <v>V</v>
          </cell>
          <cell r="G446" t="str">
            <v>SPEED LIFE 3</v>
          </cell>
          <cell r="H446">
            <v>372564</v>
          </cell>
          <cell r="I446">
            <v>52831</v>
          </cell>
          <cell r="J446">
            <v>0</v>
          </cell>
          <cell r="K446" t="str">
            <v>P4</v>
          </cell>
          <cell r="L446" t="str">
            <v>ROWO</v>
          </cell>
          <cell r="M446" t="str">
            <v>R</v>
          </cell>
          <cell r="N446" t="str">
            <v>O</v>
          </cell>
          <cell r="O446" t="str">
            <v>W</v>
          </cell>
          <cell r="P446" t="str">
            <v>O</v>
          </cell>
          <cell r="Q446" t="str">
            <v/>
          </cell>
          <cell r="R446" t="str">
            <v>-</v>
          </cell>
        </row>
        <row r="447">
          <cell r="A447">
            <v>372565</v>
          </cell>
          <cell r="B447" t="str">
            <v>-</v>
          </cell>
          <cell r="C447">
            <v>3115</v>
          </cell>
          <cell r="D447" t="str">
            <v>235/55 R17</v>
          </cell>
          <cell r="E447">
            <v>103</v>
          </cell>
          <cell r="F447" t="str">
            <v>Y</v>
          </cell>
          <cell r="G447" t="str">
            <v>SPEED LIFE 3 XL</v>
          </cell>
          <cell r="H447">
            <v>372565</v>
          </cell>
          <cell r="I447">
            <v>52430</v>
          </cell>
          <cell r="J447">
            <v>0</v>
          </cell>
          <cell r="K447" t="str">
            <v>P0</v>
          </cell>
          <cell r="L447" t="str">
            <v>RRRWW</v>
          </cell>
          <cell r="M447" t="str">
            <v>R</v>
          </cell>
          <cell r="N447" t="str">
            <v>R</v>
          </cell>
          <cell r="O447" t="str">
            <v>R</v>
          </cell>
          <cell r="P447" t="str">
            <v>W</v>
          </cell>
          <cell r="Q447" t="str">
            <v>W</v>
          </cell>
          <cell r="R447" t="str">
            <v>-</v>
          </cell>
        </row>
        <row r="448">
          <cell r="A448">
            <v>372567</v>
          </cell>
          <cell r="B448" t="str">
            <v>-</v>
          </cell>
          <cell r="C448">
            <v>3098</v>
          </cell>
          <cell r="D448" t="str">
            <v>235/60 R18</v>
          </cell>
          <cell r="E448">
            <v>107</v>
          </cell>
          <cell r="F448" t="str">
            <v>W</v>
          </cell>
          <cell r="G448" t="str">
            <v>SPEED LIFE 3 XL</v>
          </cell>
          <cell r="H448">
            <v>372567</v>
          </cell>
          <cell r="I448">
            <v>52498</v>
          </cell>
          <cell r="J448">
            <v>0</v>
          </cell>
          <cell r="K448" t="str">
            <v>P5</v>
          </cell>
          <cell r="L448" t="str">
            <v>AAWR</v>
          </cell>
          <cell r="M448" t="str">
            <v>A</v>
          </cell>
          <cell r="N448" t="str">
            <v>A</v>
          </cell>
          <cell r="O448" t="str">
            <v>W</v>
          </cell>
          <cell r="P448" t="str">
            <v>R</v>
          </cell>
          <cell r="Q448" t="str">
            <v/>
          </cell>
          <cell r="R448" t="str">
            <v>-</v>
          </cell>
        </row>
        <row r="449">
          <cell r="A449">
            <v>372570</v>
          </cell>
          <cell r="B449">
            <v>223</v>
          </cell>
          <cell r="C449">
            <v>58010</v>
          </cell>
          <cell r="D449" t="str">
            <v>245/35 R20</v>
          </cell>
          <cell r="E449">
            <v>95</v>
          </cell>
          <cell r="F449" t="str">
            <v>Y</v>
          </cell>
          <cell r="G449" t="str">
            <v>SPEED LIFE 3</v>
          </cell>
          <cell r="H449">
            <v>372570</v>
          </cell>
          <cell r="I449">
            <v>52446</v>
          </cell>
          <cell r="J449">
            <v>0</v>
          </cell>
          <cell r="K449" t="str">
            <v>R</v>
          </cell>
          <cell r="L449" t="str">
            <v>YYYYY</v>
          </cell>
          <cell r="M449" t="str">
            <v>Y</v>
          </cell>
          <cell r="N449" t="str">
            <v>Y</v>
          </cell>
          <cell r="O449" t="str">
            <v>Y</v>
          </cell>
          <cell r="P449" t="str">
            <v>Y</v>
          </cell>
          <cell r="Q449" t="str">
            <v>Y</v>
          </cell>
          <cell r="R449" t="str">
            <v>-</v>
          </cell>
        </row>
        <row r="450">
          <cell r="A450">
            <v>372581</v>
          </cell>
          <cell r="B450">
            <v>735</v>
          </cell>
          <cell r="C450">
            <v>58061</v>
          </cell>
          <cell r="D450" t="str">
            <v>255/35 R19</v>
          </cell>
          <cell r="E450">
            <v>96</v>
          </cell>
          <cell r="F450" t="str">
            <v>Y</v>
          </cell>
          <cell r="G450" t="str">
            <v>SPEED LIFE 3 XL</v>
          </cell>
          <cell r="H450">
            <v>372581</v>
          </cell>
          <cell r="I450">
            <v>52734</v>
          </cell>
          <cell r="J450">
            <v>0</v>
          </cell>
          <cell r="K450" t="str">
            <v>P0</v>
          </cell>
          <cell r="L450" t="str">
            <v>AOOYR</v>
          </cell>
          <cell r="M450" t="str">
            <v>A</v>
          </cell>
          <cell r="N450" t="str">
            <v>O</v>
          </cell>
          <cell r="O450" t="str">
            <v>O</v>
          </cell>
          <cell r="P450" t="str">
            <v>Y</v>
          </cell>
          <cell r="Q450" t="str">
            <v>R</v>
          </cell>
          <cell r="R450" t="str">
            <v>-</v>
          </cell>
        </row>
        <row r="451">
          <cell r="A451">
            <v>372589</v>
          </cell>
          <cell r="B451">
            <v>469</v>
          </cell>
          <cell r="C451">
            <v>3096</v>
          </cell>
          <cell r="D451" t="str">
            <v>165/65 R15</v>
          </cell>
          <cell r="E451">
            <v>81</v>
          </cell>
          <cell r="F451" t="str">
            <v>T</v>
          </cell>
          <cell r="G451" t="str">
            <v>SPEED LIFE 3</v>
          </cell>
          <cell r="H451">
            <v>372589</v>
          </cell>
          <cell r="I451">
            <v>52378</v>
          </cell>
          <cell r="J451">
            <v>0</v>
          </cell>
          <cell r="K451" t="str">
            <v>P8</v>
          </cell>
          <cell r="L451" t="str">
            <v>OWG</v>
          </cell>
          <cell r="M451" t="str">
            <v>O</v>
          </cell>
          <cell r="N451" t="str">
            <v>W</v>
          </cell>
          <cell r="O451" t="str">
            <v>G</v>
          </cell>
          <cell r="P451" t="str">
            <v/>
          </cell>
          <cell r="Q451" t="str">
            <v/>
          </cell>
          <cell r="R451" t="str">
            <v>-</v>
          </cell>
        </row>
        <row r="452">
          <cell r="A452">
            <v>372600</v>
          </cell>
          <cell r="B452">
            <v>801</v>
          </cell>
          <cell r="C452">
            <v>3077</v>
          </cell>
          <cell r="D452" t="str">
            <v>195/50 R16</v>
          </cell>
          <cell r="E452">
            <v>88</v>
          </cell>
          <cell r="F452" t="str">
            <v>V</v>
          </cell>
          <cell r="G452" t="str">
            <v>SPEED LIFE 3 XL</v>
          </cell>
          <cell r="H452">
            <v>372600</v>
          </cell>
          <cell r="I452">
            <v>52802</v>
          </cell>
          <cell r="J452">
            <v>0</v>
          </cell>
          <cell r="K452" t="str">
            <v>P8</v>
          </cell>
          <cell r="L452" t="str">
            <v>AOGY</v>
          </cell>
          <cell r="M452" t="str">
            <v>A</v>
          </cell>
          <cell r="N452" t="str">
            <v>O</v>
          </cell>
          <cell r="O452" t="str">
            <v>G</v>
          </cell>
          <cell r="P452" t="str">
            <v>Y</v>
          </cell>
          <cell r="Q452" t="str">
            <v/>
          </cell>
          <cell r="R452" t="str">
            <v>-</v>
          </cell>
        </row>
        <row r="453">
          <cell r="A453">
            <v>372601</v>
          </cell>
          <cell r="B453">
            <v>839</v>
          </cell>
          <cell r="C453">
            <v>4077</v>
          </cell>
          <cell r="D453" t="str">
            <v>195/45 R16</v>
          </cell>
          <cell r="E453">
            <v>84</v>
          </cell>
          <cell r="F453" t="str">
            <v>V</v>
          </cell>
          <cell r="G453" t="str">
            <v>SPEED LIFE 3</v>
          </cell>
          <cell r="H453">
            <v>372601</v>
          </cell>
          <cell r="I453">
            <v>52832</v>
          </cell>
          <cell r="J453">
            <v>0</v>
          </cell>
          <cell r="K453" t="str">
            <v>P8</v>
          </cell>
          <cell r="L453" t="str">
            <v>GWRG</v>
          </cell>
          <cell r="M453" t="str">
            <v>G</v>
          </cell>
          <cell r="N453" t="str">
            <v>W</v>
          </cell>
          <cell r="O453" t="str">
            <v>R</v>
          </cell>
          <cell r="P453" t="str">
            <v>G</v>
          </cell>
          <cell r="Q453" t="str">
            <v/>
          </cell>
          <cell r="R453" t="str">
            <v>-</v>
          </cell>
        </row>
        <row r="454">
          <cell r="A454">
            <v>372602</v>
          </cell>
          <cell r="B454" t="str">
            <v>-</v>
          </cell>
          <cell r="C454">
            <v>2257</v>
          </cell>
          <cell r="D454" t="str">
            <v>205/45 R16</v>
          </cell>
          <cell r="E454">
            <v>83</v>
          </cell>
          <cell r="F454" t="str">
            <v>W</v>
          </cell>
          <cell r="G454" t="str">
            <v>SPEED LIFE 3</v>
          </cell>
          <cell r="H454">
            <v>372602</v>
          </cell>
          <cell r="I454">
            <v>52776</v>
          </cell>
          <cell r="J454">
            <v>0</v>
          </cell>
          <cell r="K454" t="str">
            <v>P4</v>
          </cell>
          <cell r="L454" t="str">
            <v>GW</v>
          </cell>
          <cell r="M454" t="str">
            <v>G</v>
          </cell>
          <cell r="N454" t="str">
            <v>W</v>
          </cell>
          <cell r="O454" t="str">
            <v/>
          </cell>
          <cell r="P454" t="str">
            <v/>
          </cell>
          <cell r="Q454" t="str">
            <v/>
          </cell>
          <cell r="R454" t="str">
            <v>-</v>
          </cell>
        </row>
        <row r="455">
          <cell r="A455">
            <v>372604</v>
          </cell>
          <cell r="B455" t="str">
            <v>-</v>
          </cell>
          <cell r="C455">
            <v>4148</v>
          </cell>
          <cell r="D455" t="str">
            <v>215/45 R16</v>
          </cell>
          <cell r="E455">
            <v>90</v>
          </cell>
          <cell r="F455" t="str">
            <v>V</v>
          </cell>
          <cell r="G455" t="str">
            <v>SPEED LIFE 3 XL</v>
          </cell>
          <cell r="H455">
            <v>372604</v>
          </cell>
          <cell r="I455">
            <v>52260</v>
          </cell>
          <cell r="J455">
            <v>0</v>
          </cell>
          <cell r="K455" t="str">
            <v>P3</v>
          </cell>
          <cell r="L455" t="str">
            <v>WRRGO</v>
          </cell>
          <cell r="M455" t="str">
            <v>W</v>
          </cell>
          <cell r="N455" t="str">
            <v>R</v>
          </cell>
          <cell r="O455" t="str">
            <v>R</v>
          </cell>
          <cell r="P455" t="str">
            <v>G</v>
          </cell>
          <cell r="Q455" t="str">
            <v>O</v>
          </cell>
          <cell r="R455" t="str">
            <v>-</v>
          </cell>
        </row>
        <row r="456">
          <cell r="A456">
            <v>372611</v>
          </cell>
          <cell r="B456">
            <v>287</v>
          </cell>
          <cell r="C456">
            <v>5122</v>
          </cell>
          <cell r="D456" t="str">
            <v>225/65 R17</v>
          </cell>
          <cell r="E456">
            <v>102</v>
          </cell>
          <cell r="F456" t="str">
            <v>H</v>
          </cell>
          <cell r="G456" t="str">
            <v>SPEED LIFE 3</v>
          </cell>
          <cell r="H456">
            <v>372611</v>
          </cell>
          <cell r="I456">
            <v>52487</v>
          </cell>
          <cell r="J456">
            <v>0</v>
          </cell>
          <cell r="K456" t="str">
            <v>R</v>
          </cell>
          <cell r="L456" t="str">
            <v>YYAGR</v>
          </cell>
          <cell r="M456" t="str">
            <v>Y</v>
          </cell>
          <cell r="N456" t="str">
            <v>Y</v>
          </cell>
          <cell r="O456" t="str">
            <v>A</v>
          </cell>
          <cell r="P456" t="str">
            <v>G</v>
          </cell>
          <cell r="Q456" t="str">
            <v>R</v>
          </cell>
          <cell r="R456" t="str">
            <v>-</v>
          </cell>
        </row>
        <row r="457">
          <cell r="A457">
            <v>372621</v>
          </cell>
          <cell r="B457" t="str">
            <v>-</v>
          </cell>
          <cell r="C457">
            <v>2092</v>
          </cell>
          <cell r="D457" t="str">
            <v>235/55 R18</v>
          </cell>
          <cell r="E457">
            <v>100</v>
          </cell>
          <cell r="F457" t="str">
            <v>V</v>
          </cell>
          <cell r="G457" t="str">
            <v>SPEED LIFE 3</v>
          </cell>
          <cell r="H457">
            <v>372621</v>
          </cell>
          <cell r="I457">
            <v>52817</v>
          </cell>
          <cell r="J457">
            <v>0</v>
          </cell>
          <cell r="K457" t="str">
            <v>P4</v>
          </cell>
          <cell r="L457" t="str">
            <v>YRYA</v>
          </cell>
          <cell r="M457" t="str">
            <v>Y</v>
          </cell>
          <cell r="N457" t="str">
            <v>R</v>
          </cell>
          <cell r="O457" t="str">
            <v>Y</v>
          </cell>
          <cell r="P457" t="str">
            <v>A</v>
          </cell>
          <cell r="Q457" t="str">
            <v/>
          </cell>
          <cell r="R457" t="str">
            <v>-</v>
          </cell>
        </row>
        <row r="458">
          <cell r="A458">
            <v>372641</v>
          </cell>
          <cell r="B458" t="str">
            <v>-</v>
          </cell>
          <cell r="C458">
            <v>310</v>
          </cell>
          <cell r="D458" t="str">
            <v>215/50 R18</v>
          </cell>
          <cell r="E458">
            <v>96</v>
          </cell>
          <cell r="F458" t="str">
            <v>W</v>
          </cell>
          <cell r="G458" t="str">
            <v>SPEED LIFE 3 XL</v>
          </cell>
          <cell r="H458">
            <v>372641</v>
          </cell>
          <cell r="I458">
            <v>52466</v>
          </cell>
          <cell r="J458">
            <v>0</v>
          </cell>
          <cell r="K458" t="str">
            <v>P0</v>
          </cell>
          <cell r="L458" t="str">
            <v>YRA</v>
          </cell>
          <cell r="M458" t="str">
            <v>Y</v>
          </cell>
          <cell r="N458" t="str">
            <v>R</v>
          </cell>
          <cell r="O458" t="str">
            <v>A</v>
          </cell>
          <cell r="P458" t="str">
            <v/>
          </cell>
          <cell r="Q458" t="str">
            <v/>
          </cell>
          <cell r="R458" t="str">
            <v>-</v>
          </cell>
        </row>
        <row r="459">
          <cell r="A459">
            <v>372642</v>
          </cell>
          <cell r="B459" t="str">
            <v>-</v>
          </cell>
          <cell r="C459">
            <v>222</v>
          </cell>
          <cell r="D459" t="str">
            <v>235/50 R18</v>
          </cell>
          <cell r="E459">
            <v>97</v>
          </cell>
          <cell r="F459" t="str">
            <v>V</v>
          </cell>
          <cell r="G459" t="str">
            <v>SPEED LIFE 3</v>
          </cell>
          <cell r="H459">
            <v>372642</v>
          </cell>
          <cell r="I459">
            <v>52617</v>
          </cell>
          <cell r="J459">
            <v>0</v>
          </cell>
          <cell r="K459" t="str">
            <v>P4</v>
          </cell>
          <cell r="L459" t="str">
            <v>AOOOA</v>
          </cell>
          <cell r="M459" t="str">
            <v>A</v>
          </cell>
          <cell r="N459" t="str">
            <v>O</v>
          </cell>
          <cell r="O459" t="str">
            <v>O</v>
          </cell>
          <cell r="P459" t="str">
            <v>O</v>
          </cell>
          <cell r="Q459" t="str">
            <v>A</v>
          </cell>
          <cell r="R459" t="str">
            <v>-</v>
          </cell>
        </row>
        <row r="460">
          <cell r="A460">
            <v>372643</v>
          </cell>
          <cell r="B460" t="str">
            <v>-</v>
          </cell>
          <cell r="C460">
            <v>322</v>
          </cell>
          <cell r="D460" t="str">
            <v>235/50 R18</v>
          </cell>
          <cell r="E460">
            <v>101</v>
          </cell>
          <cell r="F460" t="str">
            <v>Y</v>
          </cell>
          <cell r="G460" t="str">
            <v>SPEED LIFE 3 XL</v>
          </cell>
          <cell r="H460">
            <v>372643</v>
          </cell>
          <cell r="I460">
            <v>52618</v>
          </cell>
          <cell r="J460">
            <v>0</v>
          </cell>
          <cell r="K460" t="str">
            <v>P4</v>
          </cell>
          <cell r="L460" t="str">
            <v>AWW</v>
          </cell>
          <cell r="M460" t="str">
            <v>A</v>
          </cell>
          <cell r="N460" t="str">
            <v>W</v>
          </cell>
          <cell r="O460" t="str">
            <v>W</v>
          </cell>
          <cell r="P460" t="str">
            <v/>
          </cell>
          <cell r="Q460" t="str">
            <v/>
          </cell>
          <cell r="R460" t="str">
            <v>-</v>
          </cell>
        </row>
        <row r="461">
          <cell r="A461">
            <v>372652</v>
          </cell>
          <cell r="B461">
            <v>810</v>
          </cell>
          <cell r="C461">
            <v>50</v>
          </cell>
          <cell r="D461" t="str">
            <v>205/55 R19</v>
          </cell>
          <cell r="E461">
            <v>97</v>
          </cell>
          <cell r="F461" t="str">
            <v>V</v>
          </cell>
          <cell r="G461" t="str">
            <v>SPEED LIFE 3 XL</v>
          </cell>
          <cell r="H461">
            <v>372652</v>
          </cell>
          <cell r="I461">
            <v>52779</v>
          </cell>
          <cell r="J461">
            <v>0</v>
          </cell>
          <cell r="K461" t="str">
            <v>P4</v>
          </cell>
          <cell r="L461" t="str">
            <v>WY</v>
          </cell>
          <cell r="M461" t="str">
            <v>W</v>
          </cell>
          <cell r="N461" t="str">
            <v>Y</v>
          </cell>
          <cell r="O461" t="str">
            <v/>
          </cell>
          <cell r="P461" t="str">
            <v/>
          </cell>
          <cell r="Q461" t="str">
            <v/>
          </cell>
          <cell r="R461" t="str">
            <v>-</v>
          </cell>
        </row>
        <row r="462">
          <cell r="A462">
            <v>372654</v>
          </cell>
          <cell r="B462" t="str">
            <v>-</v>
          </cell>
          <cell r="C462">
            <v>4249</v>
          </cell>
          <cell r="D462" t="str">
            <v>225/55 R19</v>
          </cell>
          <cell r="E462">
            <v>99</v>
          </cell>
          <cell r="F462" t="str">
            <v>V</v>
          </cell>
          <cell r="G462" t="str">
            <v>SPEED LIFE 3</v>
          </cell>
          <cell r="H462">
            <v>372654</v>
          </cell>
          <cell r="I462">
            <v>52108</v>
          </cell>
          <cell r="J462">
            <v>0</v>
          </cell>
          <cell r="K462" t="str">
            <v>P4</v>
          </cell>
          <cell r="L462" t="str">
            <v>YYYYW</v>
          </cell>
          <cell r="M462" t="str">
            <v>Y</v>
          </cell>
          <cell r="N462" t="str">
            <v>Y</v>
          </cell>
          <cell r="O462" t="str">
            <v>Y</v>
          </cell>
          <cell r="P462" t="str">
            <v>Y</v>
          </cell>
          <cell r="Q462" t="str">
            <v>W</v>
          </cell>
          <cell r="R462" t="str">
            <v>-</v>
          </cell>
        </row>
        <row r="463">
          <cell r="A463">
            <v>372658</v>
          </cell>
          <cell r="B463" t="str">
            <v>-</v>
          </cell>
          <cell r="C463">
            <v>71</v>
          </cell>
          <cell r="D463" t="str">
            <v>235/50 R19</v>
          </cell>
          <cell r="E463">
            <v>99</v>
          </cell>
          <cell r="F463" t="str">
            <v>V</v>
          </cell>
          <cell r="G463" t="str">
            <v>SPEED LIFE 3</v>
          </cell>
          <cell r="H463">
            <v>372658</v>
          </cell>
          <cell r="I463">
            <v>52812</v>
          </cell>
          <cell r="J463">
            <v>0</v>
          </cell>
          <cell r="K463" t="str">
            <v>P4</v>
          </cell>
          <cell r="L463" t="str">
            <v>WWOAR</v>
          </cell>
          <cell r="M463" t="str">
            <v>W</v>
          </cell>
          <cell r="N463" t="str">
            <v>W</v>
          </cell>
          <cell r="O463" t="str">
            <v>O</v>
          </cell>
          <cell r="P463" t="str">
            <v>A</v>
          </cell>
          <cell r="Q463" t="str">
            <v>R</v>
          </cell>
          <cell r="R463" t="str">
            <v>-</v>
          </cell>
        </row>
        <row r="464">
          <cell r="A464">
            <v>372665</v>
          </cell>
          <cell r="B464" t="str">
            <v>-</v>
          </cell>
          <cell r="C464">
            <v>3029</v>
          </cell>
          <cell r="D464" t="str">
            <v>225/45 R19</v>
          </cell>
          <cell r="E464">
            <v>96</v>
          </cell>
          <cell r="F464" t="str">
            <v>W</v>
          </cell>
          <cell r="G464" t="str">
            <v>SPEED LIFE 3 XL</v>
          </cell>
          <cell r="H464">
            <v>372665</v>
          </cell>
          <cell r="I464">
            <v>52344</v>
          </cell>
          <cell r="J464">
            <v>0</v>
          </cell>
          <cell r="K464" t="str">
            <v>P2</v>
          </cell>
          <cell r="L464" t="str">
            <v>AAGAW</v>
          </cell>
          <cell r="M464" t="str">
            <v>A</v>
          </cell>
          <cell r="N464" t="str">
            <v>A</v>
          </cell>
          <cell r="O464" t="str">
            <v>G</v>
          </cell>
          <cell r="P464" t="str">
            <v>A</v>
          </cell>
          <cell r="Q464" t="str">
            <v>W</v>
          </cell>
          <cell r="R464" t="str">
            <v>-</v>
          </cell>
        </row>
        <row r="465">
          <cell r="A465">
            <v>372735</v>
          </cell>
          <cell r="B465" t="str">
            <v>-</v>
          </cell>
          <cell r="C465">
            <v>2157</v>
          </cell>
          <cell r="D465" t="str">
            <v>205/45 R17</v>
          </cell>
          <cell r="E465">
            <v>88</v>
          </cell>
          <cell r="F465" t="str">
            <v>V</v>
          </cell>
          <cell r="G465" t="str">
            <v>SPEED LIFE 3 XL</v>
          </cell>
          <cell r="H465">
            <v>372735</v>
          </cell>
          <cell r="I465">
            <v>52717</v>
          </cell>
          <cell r="J465">
            <v>0</v>
          </cell>
          <cell r="K465" t="str">
            <v>P4</v>
          </cell>
          <cell r="L465" t="str">
            <v>RGOOO</v>
          </cell>
          <cell r="M465" t="str">
            <v>R</v>
          </cell>
          <cell r="N465" t="str">
            <v>G</v>
          </cell>
          <cell r="O465" t="str">
            <v>O</v>
          </cell>
          <cell r="P465" t="str">
            <v>O</v>
          </cell>
          <cell r="Q465" t="str">
            <v>O</v>
          </cell>
          <cell r="R465" t="str">
            <v>-</v>
          </cell>
        </row>
        <row r="466">
          <cell r="A466">
            <v>373232</v>
          </cell>
          <cell r="B466">
            <v>635</v>
          </cell>
          <cell r="C466">
            <v>68</v>
          </cell>
          <cell r="D466" t="str">
            <v>145/65 R15</v>
          </cell>
          <cell r="E466">
            <v>72</v>
          </cell>
          <cell r="F466" t="str">
            <v>T</v>
          </cell>
          <cell r="G466" t="str">
            <v>MASTERGRIP 2</v>
          </cell>
          <cell r="H466">
            <v>373232</v>
          </cell>
          <cell r="I466">
            <v>52335</v>
          </cell>
          <cell r="J466">
            <v>0</v>
          </cell>
          <cell r="K466" t="str">
            <v>P4</v>
          </cell>
          <cell r="L466" t="str">
            <v>AGRGG</v>
          </cell>
          <cell r="M466" t="str">
            <v>A</v>
          </cell>
          <cell r="N466" t="str">
            <v>G</v>
          </cell>
          <cell r="O466" t="str">
            <v>R</v>
          </cell>
          <cell r="P466" t="str">
            <v>G</v>
          </cell>
          <cell r="Q466" t="str">
            <v>G</v>
          </cell>
          <cell r="R466" t="str">
            <v>-</v>
          </cell>
        </row>
        <row r="467">
          <cell r="A467">
            <v>373236</v>
          </cell>
          <cell r="B467">
            <v>532</v>
          </cell>
          <cell r="C467">
            <v>3146</v>
          </cell>
          <cell r="D467" t="str">
            <v>155/60 R15</v>
          </cell>
          <cell r="E467">
            <v>74</v>
          </cell>
          <cell r="F467" t="str">
            <v>T</v>
          </cell>
          <cell r="G467" t="str">
            <v>MASTERGRIP 2</v>
          </cell>
          <cell r="H467">
            <v>373236</v>
          </cell>
          <cell r="I467">
            <v>52530</v>
          </cell>
          <cell r="J467">
            <v>0</v>
          </cell>
          <cell r="K467" t="str">
            <v>P8</v>
          </cell>
          <cell r="L467" t="str">
            <v>WAAAW</v>
          </cell>
          <cell r="M467" t="str">
            <v>W</v>
          </cell>
          <cell r="N467" t="str">
            <v>A</v>
          </cell>
          <cell r="O467" t="str">
            <v>A</v>
          </cell>
          <cell r="P467" t="str">
            <v>A</v>
          </cell>
          <cell r="Q467" t="str">
            <v>W</v>
          </cell>
          <cell r="R467" t="str">
            <v>-</v>
          </cell>
        </row>
        <row r="468">
          <cell r="A468">
            <v>373237</v>
          </cell>
          <cell r="B468">
            <v>145</v>
          </cell>
          <cell r="C468">
            <v>29</v>
          </cell>
          <cell r="D468" t="str">
            <v>175/60 R15</v>
          </cell>
          <cell r="E468">
            <v>81</v>
          </cell>
          <cell r="F468" t="str">
            <v>T</v>
          </cell>
          <cell r="G468" t="str">
            <v>MASTERGRIP 2</v>
          </cell>
          <cell r="H468">
            <v>373237</v>
          </cell>
          <cell r="I468">
            <v>52045</v>
          </cell>
          <cell r="J468">
            <v>0</v>
          </cell>
          <cell r="K468" t="str">
            <v>P8</v>
          </cell>
          <cell r="L468" t="str">
            <v>ARW</v>
          </cell>
          <cell r="M468" t="str">
            <v>A</v>
          </cell>
          <cell r="N468" t="str">
            <v>R</v>
          </cell>
          <cell r="O468" t="str">
            <v>W</v>
          </cell>
          <cell r="P468" t="str">
            <v/>
          </cell>
          <cell r="Q468" t="str">
            <v/>
          </cell>
          <cell r="R468" t="str">
            <v>-</v>
          </cell>
        </row>
        <row r="469">
          <cell r="A469">
            <v>373238</v>
          </cell>
          <cell r="B469">
            <v>103</v>
          </cell>
          <cell r="C469">
            <v>3028</v>
          </cell>
          <cell r="D469" t="str">
            <v>175/55 R15</v>
          </cell>
          <cell r="E469">
            <v>77</v>
          </cell>
          <cell r="F469" t="str">
            <v>T</v>
          </cell>
          <cell r="G469" t="str">
            <v>MASTERGRIP 2</v>
          </cell>
          <cell r="H469">
            <v>373238</v>
          </cell>
          <cell r="I469">
            <v>52103</v>
          </cell>
          <cell r="J469">
            <v>0</v>
          </cell>
          <cell r="K469" t="str">
            <v>P4</v>
          </cell>
          <cell r="L469" t="str">
            <v>ROY</v>
          </cell>
          <cell r="M469" t="str">
            <v>R</v>
          </cell>
          <cell r="N469" t="str">
            <v>O</v>
          </cell>
          <cell r="O469" t="str">
            <v>Y</v>
          </cell>
          <cell r="P469" t="str">
            <v/>
          </cell>
          <cell r="Q469" t="str">
            <v/>
          </cell>
          <cell r="R469" t="str">
            <v>-</v>
          </cell>
        </row>
        <row r="470">
          <cell r="A470">
            <v>373505</v>
          </cell>
          <cell r="B470">
            <v>153</v>
          </cell>
          <cell r="C470">
            <v>56</v>
          </cell>
          <cell r="D470" t="str">
            <v>195/45 R16</v>
          </cell>
          <cell r="E470">
            <v>84</v>
          </cell>
          <cell r="F470" t="str">
            <v>H</v>
          </cell>
          <cell r="G470" t="str">
            <v>SPEED-GRIP 3 XL</v>
          </cell>
          <cell r="H470">
            <v>373505</v>
          </cell>
          <cell r="I470">
            <v>52152</v>
          </cell>
          <cell r="J470">
            <v>0</v>
          </cell>
          <cell r="K470" t="str">
            <v>P8</v>
          </cell>
          <cell r="L470" t="str">
            <v>RRRW</v>
          </cell>
          <cell r="M470" t="str">
            <v>R</v>
          </cell>
          <cell r="N470" t="str">
            <v>R</v>
          </cell>
          <cell r="O470" t="str">
            <v>R</v>
          </cell>
          <cell r="P470" t="str">
            <v>W</v>
          </cell>
          <cell r="Q470" t="str">
            <v/>
          </cell>
          <cell r="R470" t="str">
            <v>-</v>
          </cell>
        </row>
        <row r="471">
          <cell r="A471">
            <v>373506</v>
          </cell>
          <cell r="B471">
            <v>517</v>
          </cell>
          <cell r="C471">
            <v>58043</v>
          </cell>
          <cell r="D471" t="str">
            <v>215/40 R17</v>
          </cell>
          <cell r="E471">
            <v>87</v>
          </cell>
          <cell r="F471" t="str">
            <v>V</v>
          </cell>
          <cell r="G471" t="str">
            <v>SPEED-GRIP 3 XL</v>
          </cell>
          <cell r="H471">
            <v>373506</v>
          </cell>
          <cell r="I471">
            <v>52517</v>
          </cell>
          <cell r="J471">
            <v>0</v>
          </cell>
          <cell r="K471" t="str">
            <v>P4</v>
          </cell>
          <cell r="L471" t="str">
            <v>ARRRY</v>
          </cell>
          <cell r="M471" t="str">
            <v>A</v>
          </cell>
          <cell r="N471" t="str">
            <v>R</v>
          </cell>
          <cell r="O471" t="str">
            <v>R</v>
          </cell>
          <cell r="P471" t="str">
            <v>R</v>
          </cell>
          <cell r="Q471" t="str">
            <v>Y</v>
          </cell>
          <cell r="R471" t="str">
            <v>-</v>
          </cell>
        </row>
        <row r="472">
          <cell r="A472">
            <v>373576</v>
          </cell>
          <cell r="B472">
            <v>770</v>
          </cell>
          <cell r="C472">
            <v>3073</v>
          </cell>
          <cell r="D472" t="str">
            <v>225/65 R17</v>
          </cell>
          <cell r="E472">
            <v>106</v>
          </cell>
          <cell r="F472" t="str">
            <v>V</v>
          </cell>
          <cell r="G472" t="str">
            <v>ALLSEASON GRIP XL</v>
          </cell>
          <cell r="H472">
            <v>373576</v>
          </cell>
          <cell r="I472">
            <v>52768</v>
          </cell>
          <cell r="J472">
            <v>0</v>
          </cell>
          <cell r="K472" t="str">
            <v>P4</v>
          </cell>
          <cell r="L472" t="str">
            <v>OAAWY</v>
          </cell>
          <cell r="M472" t="str">
            <v>O</v>
          </cell>
          <cell r="N472" t="str">
            <v>A</v>
          </cell>
          <cell r="O472" t="str">
            <v>A</v>
          </cell>
          <cell r="P472" t="str">
            <v>W</v>
          </cell>
          <cell r="Q472" t="str">
            <v>Y</v>
          </cell>
          <cell r="R472" t="str">
            <v>-</v>
          </cell>
        </row>
        <row r="473">
          <cell r="A473">
            <v>373578</v>
          </cell>
          <cell r="B473">
            <v>478</v>
          </cell>
          <cell r="C473">
            <v>2025</v>
          </cell>
          <cell r="D473" t="str">
            <v>205/55 R17</v>
          </cell>
          <cell r="E473">
            <v>95</v>
          </cell>
          <cell r="F473" t="str">
            <v>V</v>
          </cell>
          <cell r="G473" t="str">
            <v>ALLSEASON-GRIP XL</v>
          </cell>
          <cell r="H473">
            <v>373578</v>
          </cell>
          <cell r="I473">
            <v>52478</v>
          </cell>
          <cell r="J473">
            <v>0</v>
          </cell>
          <cell r="K473" t="str">
            <v>P4</v>
          </cell>
          <cell r="L473" t="str">
            <v>AOWGW</v>
          </cell>
          <cell r="M473" t="str">
            <v>A</v>
          </cell>
          <cell r="N473" t="str">
            <v>O</v>
          </cell>
          <cell r="O473" t="str">
            <v>W</v>
          </cell>
          <cell r="P473" t="str">
            <v>G</v>
          </cell>
          <cell r="Q473" t="str">
            <v>W</v>
          </cell>
          <cell r="R473" t="str">
            <v>-</v>
          </cell>
        </row>
        <row r="474">
          <cell r="A474">
            <v>373580</v>
          </cell>
          <cell r="B474">
            <v>848</v>
          </cell>
          <cell r="C474">
            <v>3069</v>
          </cell>
          <cell r="D474" t="str">
            <v>205/50 R17</v>
          </cell>
          <cell r="E474">
            <v>93</v>
          </cell>
          <cell r="F474" t="str">
            <v>W</v>
          </cell>
          <cell r="G474" t="str">
            <v>ALLSEASON GRIP XL</v>
          </cell>
          <cell r="H474">
            <v>373580</v>
          </cell>
          <cell r="I474">
            <v>52548</v>
          </cell>
          <cell r="J474">
            <v>0</v>
          </cell>
          <cell r="K474" t="str">
            <v>P4</v>
          </cell>
          <cell r="L474" t="str">
            <v>OAORO</v>
          </cell>
          <cell r="M474" t="str">
            <v>O</v>
          </cell>
          <cell r="N474" t="str">
            <v>A</v>
          </cell>
          <cell r="O474" t="str">
            <v>O</v>
          </cell>
          <cell r="P474" t="str">
            <v>R</v>
          </cell>
          <cell r="Q474" t="str">
            <v>O</v>
          </cell>
          <cell r="R474" t="str">
            <v>-</v>
          </cell>
        </row>
        <row r="475">
          <cell r="A475">
            <v>373586</v>
          </cell>
          <cell r="B475">
            <v>980</v>
          </cell>
          <cell r="C475">
            <v>5003</v>
          </cell>
          <cell r="D475" t="str">
            <v>165/65 R15</v>
          </cell>
          <cell r="E475">
            <v>81</v>
          </cell>
          <cell r="F475" t="str">
            <v>T</v>
          </cell>
          <cell r="G475" t="str">
            <v>SPEED GRIP 5</v>
          </cell>
          <cell r="H475">
            <v>373586</v>
          </cell>
          <cell r="I475">
            <v>52880</v>
          </cell>
          <cell r="J475">
            <v>0</v>
          </cell>
          <cell r="K475" t="str">
            <v>P8</v>
          </cell>
          <cell r="L475" t="str">
            <v>AYA</v>
          </cell>
          <cell r="M475" t="str">
            <v>A</v>
          </cell>
          <cell r="N475" t="str">
            <v>Y</v>
          </cell>
          <cell r="O475" t="str">
            <v>A</v>
          </cell>
          <cell r="P475" t="str">
            <v/>
          </cell>
          <cell r="Q475" t="str">
            <v/>
          </cell>
          <cell r="R475" t="str">
            <v>-</v>
          </cell>
        </row>
        <row r="476">
          <cell r="A476">
            <v>373587</v>
          </cell>
          <cell r="B476">
            <v>852</v>
          </cell>
          <cell r="C476">
            <v>6095</v>
          </cell>
          <cell r="D476" t="str">
            <v>185/65 R15</v>
          </cell>
          <cell r="E476">
            <v>88</v>
          </cell>
          <cell r="F476" t="str">
            <v>T</v>
          </cell>
          <cell r="G476" t="str">
            <v>SPEED GRIP 5</v>
          </cell>
          <cell r="H476">
            <v>373587</v>
          </cell>
          <cell r="I476">
            <v>52822</v>
          </cell>
          <cell r="J476">
            <v>0</v>
          </cell>
          <cell r="K476" t="str">
            <v>P4</v>
          </cell>
          <cell r="L476" t="str">
            <v>RYAO</v>
          </cell>
          <cell r="M476" t="str">
            <v>R</v>
          </cell>
          <cell r="N476" t="str">
            <v>Y</v>
          </cell>
          <cell r="O476" t="str">
            <v>A</v>
          </cell>
          <cell r="P476" t="str">
            <v>O</v>
          </cell>
          <cell r="Q476" t="str">
            <v/>
          </cell>
          <cell r="R476" t="str">
            <v>-</v>
          </cell>
        </row>
        <row r="477">
          <cell r="A477">
            <v>373589</v>
          </cell>
          <cell r="B477">
            <v>825</v>
          </cell>
          <cell r="C477">
            <v>6195</v>
          </cell>
          <cell r="D477" t="str">
            <v>185/65 R15</v>
          </cell>
          <cell r="E477">
            <v>92</v>
          </cell>
          <cell r="F477" t="str">
            <v>T</v>
          </cell>
          <cell r="G477" t="str">
            <v>SPEED GRIP 5</v>
          </cell>
          <cell r="H477">
            <v>373589</v>
          </cell>
          <cell r="I477">
            <v>52823</v>
          </cell>
          <cell r="J477">
            <v>0</v>
          </cell>
          <cell r="K477" t="str">
            <v>P4</v>
          </cell>
          <cell r="L477" t="str">
            <v>GAYO</v>
          </cell>
          <cell r="M477" t="str">
            <v>G</v>
          </cell>
          <cell r="N477" t="str">
            <v>A</v>
          </cell>
          <cell r="O477" t="str">
            <v>Y</v>
          </cell>
          <cell r="P477" t="str">
            <v>O</v>
          </cell>
          <cell r="Q477" t="str">
            <v/>
          </cell>
          <cell r="R477" t="str">
            <v>-</v>
          </cell>
        </row>
        <row r="478">
          <cell r="A478">
            <v>373594</v>
          </cell>
          <cell r="B478">
            <v>858</v>
          </cell>
          <cell r="C478">
            <v>5090</v>
          </cell>
          <cell r="D478" t="str">
            <v>185/60 R15</v>
          </cell>
          <cell r="E478">
            <v>84</v>
          </cell>
          <cell r="F478" t="str">
            <v>T</v>
          </cell>
          <cell r="G478" t="str">
            <v>SPEED GRIP 5</v>
          </cell>
          <cell r="H478">
            <v>373594</v>
          </cell>
          <cell r="I478">
            <v>52858</v>
          </cell>
          <cell r="J478">
            <v>0</v>
          </cell>
          <cell r="K478" t="str">
            <v>P4</v>
          </cell>
          <cell r="L478" t="str">
            <v>GOW</v>
          </cell>
          <cell r="M478" t="str">
            <v>G</v>
          </cell>
          <cell r="N478" t="str">
            <v>O</v>
          </cell>
          <cell r="O478" t="str">
            <v>W</v>
          </cell>
          <cell r="P478" t="str">
            <v/>
          </cell>
          <cell r="Q478" t="str">
            <v/>
          </cell>
          <cell r="R478" t="str">
            <v>-</v>
          </cell>
        </row>
        <row r="479">
          <cell r="A479">
            <v>373595</v>
          </cell>
          <cell r="B479">
            <v>843</v>
          </cell>
          <cell r="C479">
            <v>5190</v>
          </cell>
          <cell r="D479" t="str">
            <v>185/60 R15</v>
          </cell>
          <cell r="E479">
            <v>88</v>
          </cell>
          <cell r="F479" t="str">
            <v>T</v>
          </cell>
          <cell r="G479" t="str">
            <v>SPEED GRIP 5</v>
          </cell>
          <cell r="H479">
            <v>373595</v>
          </cell>
          <cell r="I479">
            <v>52859</v>
          </cell>
          <cell r="J479">
            <v>0</v>
          </cell>
          <cell r="K479" t="str">
            <v>P4</v>
          </cell>
          <cell r="L479" t="str">
            <v>RAY</v>
          </cell>
          <cell r="M479" t="str">
            <v>R</v>
          </cell>
          <cell r="N479" t="str">
            <v>A</v>
          </cell>
          <cell r="O479" t="str">
            <v>Y</v>
          </cell>
          <cell r="P479" t="str">
            <v/>
          </cell>
          <cell r="Q479" t="str">
            <v/>
          </cell>
          <cell r="R479" t="str">
            <v>-</v>
          </cell>
        </row>
        <row r="480">
          <cell r="A480">
            <v>373635</v>
          </cell>
          <cell r="B480">
            <v>382</v>
          </cell>
          <cell r="C480">
            <v>2110</v>
          </cell>
          <cell r="D480" t="str">
            <v>215/65 R17</v>
          </cell>
          <cell r="E480">
            <v>99</v>
          </cell>
          <cell r="F480" t="str">
            <v>H</v>
          </cell>
          <cell r="G480" t="str">
            <v>SPEED GRIP 5</v>
          </cell>
          <cell r="H480">
            <v>373635</v>
          </cell>
          <cell r="I480">
            <v>52382</v>
          </cell>
          <cell r="J480">
            <v>0</v>
          </cell>
          <cell r="K480" t="str">
            <v>P7</v>
          </cell>
          <cell r="L480" t="str">
            <v>AGAGR</v>
          </cell>
          <cell r="M480" t="str">
            <v>A</v>
          </cell>
          <cell r="N480" t="str">
            <v>G</v>
          </cell>
          <cell r="O480" t="str">
            <v>A</v>
          </cell>
          <cell r="P480" t="str">
            <v>G</v>
          </cell>
          <cell r="Q480" t="str">
            <v>R</v>
          </cell>
          <cell r="R480" t="str">
            <v>-</v>
          </cell>
        </row>
        <row r="481">
          <cell r="A481">
            <v>373637</v>
          </cell>
          <cell r="B481">
            <v>383</v>
          </cell>
          <cell r="C481">
            <v>2010</v>
          </cell>
          <cell r="D481" t="str">
            <v>215/65 R17</v>
          </cell>
          <cell r="E481">
            <v>99</v>
          </cell>
          <cell r="F481" t="str">
            <v>V</v>
          </cell>
          <cell r="G481" t="str">
            <v>SPEED GRIP 5</v>
          </cell>
          <cell r="H481">
            <v>373637</v>
          </cell>
          <cell r="I481">
            <v>52388</v>
          </cell>
          <cell r="J481">
            <v>0</v>
          </cell>
          <cell r="K481" t="str">
            <v>P7</v>
          </cell>
          <cell r="L481" t="str">
            <v>OAAAY</v>
          </cell>
          <cell r="M481" t="str">
            <v>O</v>
          </cell>
          <cell r="N481" t="str">
            <v>A</v>
          </cell>
          <cell r="O481" t="str">
            <v>A</v>
          </cell>
          <cell r="P481" t="str">
            <v>A</v>
          </cell>
          <cell r="Q481" t="str">
            <v>Y</v>
          </cell>
          <cell r="R481" t="str">
            <v>-</v>
          </cell>
        </row>
        <row r="482">
          <cell r="A482">
            <v>373638</v>
          </cell>
          <cell r="B482">
            <v>961</v>
          </cell>
          <cell r="C482">
            <v>39</v>
          </cell>
          <cell r="D482" t="str">
            <v>215/55 R17</v>
          </cell>
          <cell r="E482">
            <v>98</v>
          </cell>
          <cell r="F482" t="str">
            <v>V</v>
          </cell>
          <cell r="G482" t="str">
            <v>SPEED GRIP 5 XL</v>
          </cell>
          <cell r="H482">
            <v>373638</v>
          </cell>
          <cell r="I482">
            <v>52861</v>
          </cell>
          <cell r="J482">
            <v>0</v>
          </cell>
          <cell r="K482" t="str">
            <v>P4</v>
          </cell>
          <cell r="L482" t="str">
            <v>OOOOG</v>
          </cell>
          <cell r="M482" t="str">
            <v>O</v>
          </cell>
          <cell r="N482" t="str">
            <v>O</v>
          </cell>
          <cell r="O482" t="str">
            <v>O</v>
          </cell>
          <cell r="P482" t="str">
            <v>O</v>
          </cell>
          <cell r="Q482" t="str">
            <v>G</v>
          </cell>
          <cell r="R482" t="str">
            <v>-</v>
          </cell>
        </row>
        <row r="483">
          <cell r="A483">
            <v>373650</v>
          </cell>
          <cell r="B483">
            <v>13</v>
          </cell>
          <cell r="C483">
            <v>58217</v>
          </cell>
          <cell r="D483" t="str">
            <v>205/45 R17</v>
          </cell>
          <cell r="E483">
            <v>84</v>
          </cell>
          <cell r="F483" t="str">
            <v>H</v>
          </cell>
          <cell r="G483" t="str">
            <v>SPEED GRIP 5</v>
          </cell>
          <cell r="H483">
            <v>373650</v>
          </cell>
          <cell r="I483">
            <v>52018</v>
          </cell>
          <cell r="J483">
            <v>0</v>
          </cell>
          <cell r="K483" t="str">
            <v>P4</v>
          </cell>
          <cell r="L483" t="str">
            <v>RWG</v>
          </cell>
          <cell r="M483" t="str">
            <v>R</v>
          </cell>
          <cell r="N483" t="str">
            <v>W</v>
          </cell>
          <cell r="O483" t="str">
            <v>G</v>
          </cell>
          <cell r="P483" t="str">
            <v/>
          </cell>
          <cell r="Q483" t="str">
            <v/>
          </cell>
          <cell r="R483" t="str">
            <v>-</v>
          </cell>
        </row>
        <row r="484">
          <cell r="A484">
            <v>373651</v>
          </cell>
          <cell r="B484">
            <v>281</v>
          </cell>
          <cell r="C484">
            <v>58117</v>
          </cell>
          <cell r="D484" t="str">
            <v>205/45 R17</v>
          </cell>
          <cell r="E484">
            <v>88</v>
          </cell>
          <cell r="F484" t="str">
            <v>V</v>
          </cell>
          <cell r="G484" t="str">
            <v>SPEED GRIP 5 XL</v>
          </cell>
          <cell r="H484">
            <v>373651</v>
          </cell>
          <cell r="I484">
            <v>52284</v>
          </cell>
          <cell r="J484">
            <v>0</v>
          </cell>
          <cell r="K484" t="str">
            <v>P4</v>
          </cell>
          <cell r="L484" t="str">
            <v>GGW</v>
          </cell>
          <cell r="M484" t="str">
            <v>G</v>
          </cell>
          <cell r="N484" t="str">
            <v>G</v>
          </cell>
          <cell r="O484" t="str">
            <v>W</v>
          </cell>
          <cell r="P484" t="str">
            <v/>
          </cell>
          <cell r="Q484" t="str">
            <v/>
          </cell>
          <cell r="R484" t="str">
            <v>-</v>
          </cell>
        </row>
        <row r="485">
          <cell r="A485">
            <v>373660</v>
          </cell>
          <cell r="B485">
            <v>941</v>
          </cell>
          <cell r="C485">
            <v>5278</v>
          </cell>
          <cell r="D485" t="str">
            <v>215/55 R18</v>
          </cell>
          <cell r="E485">
            <v>99</v>
          </cell>
          <cell r="F485" t="str">
            <v>V</v>
          </cell>
          <cell r="G485" t="str">
            <v>SPEED GRIP 5 XL</v>
          </cell>
          <cell r="H485">
            <v>373660</v>
          </cell>
          <cell r="I485">
            <v>52442</v>
          </cell>
          <cell r="J485">
            <v>0</v>
          </cell>
          <cell r="K485" t="str">
            <v>P4</v>
          </cell>
          <cell r="L485" t="str">
            <v>YYAY</v>
          </cell>
          <cell r="M485" t="str">
            <v>Y</v>
          </cell>
          <cell r="N485" t="str">
            <v>Y</v>
          </cell>
          <cell r="O485" t="str">
            <v>A</v>
          </cell>
          <cell r="P485" t="str">
            <v>Y</v>
          </cell>
          <cell r="Q485" t="str">
            <v/>
          </cell>
          <cell r="R485" t="str">
            <v>-</v>
          </cell>
        </row>
        <row r="486">
          <cell r="A486">
            <v>373668</v>
          </cell>
          <cell r="B486">
            <v>49</v>
          </cell>
          <cell r="C486">
            <v>58020</v>
          </cell>
          <cell r="D486" t="str">
            <v>225/40 R18</v>
          </cell>
          <cell r="E486">
            <v>92</v>
          </cell>
          <cell r="F486" t="str">
            <v>V</v>
          </cell>
          <cell r="G486" t="str">
            <v>SPEED GRIP 5 XL</v>
          </cell>
          <cell r="H486">
            <v>373668</v>
          </cell>
          <cell r="I486">
            <v>52901</v>
          </cell>
          <cell r="J486">
            <v>0</v>
          </cell>
          <cell r="K486" t="str">
            <v>P8</v>
          </cell>
          <cell r="L486" t="str">
            <v>AAOWW</v>
          </cell>
          <cell r="M486" t="str">
            <v>A</v>
          </cell>
          <cell r="N486" t="str">
            <v>A</v>
          </cell>
          <cell r="O486" t="str">
            <v>O</v>
          </cell>
          <cell r="P486" t="str">
            <v>W</v>
          </cell>
          <cell r="Q486" t="str">
            <v>W</v>
          </cell>
          <cell r="R486" t="str">
            <v>-</v>
          </cell>
        </row>
        <row r="487">
          <cell r="A487">
            <v>373669</v>
          </cell>
          <cell r="B487">
            <v>135</v>
          </cell>
          <cell r="C487">
            <v>4040</v>
          </cell>
          <cell r="D487" t="str">
            <v>235/50 R19</v>
          </cell>
          <cell r="E487">
            <v>103</v>
          </cell>
          <cell r="F487" t="str">
            <v>V</v>
          </cell>
          <cell r="G487" t="str">
            <v>SPEED GRIP 5 XL</v>
          </cell>
          <cell r="H487">
            <v>373669</v>
          </cell>
          <cell r="I487">
            <v>52135</v>
          </cell>
          <cell r="J487">
            <v>0</v>
          </cell>
          <cell r="K487" t="str">
            <v>P4</v>
          </cell>
          <cell r="L487" t="str">
            <v>YWAR</v>
          </cell>
          <cell r="M487" t="str">
            <v>Y</v>
          </cell>
          <cell r="N487" t="str">
            <v>W</v>
          </cell>
          <cell r="O487" t="str">
            <v>A</v>
          </cell>
          <cell r="P487" t="str">
            <v>R</v>
          </cell>
          <cell r="Q487" t="str">
            <v/>
          </cell>
          <cell r="R487" t="str">
            <v>-</v>
          </cell>
        </row>
        <row r="488">
          <cell r="A488">
            <v>373678</v>
          </cell>
          <cell r="B488">
            <v>483</v>
          </cell>
          <cell r="C488">
            <v>3039</v>
          </cell>
          <cell r="D488" t="str">
            <v>195/60 R16</v>
          </cell>
          <cell r="E488">
            <v>89</v>
          </cell>
          <cell r="F488" t="str">
            <v>H</v>
          </cell>
          <cell r="G488" t="str">
            <v>SPEED GRIP 5</v>
          </cell>
          <cell r="H488">
            <v>373678</v>
          </cell>
          <cell r="I488">
            <v>52483</v>
          </cell>
          <cell r="J488">
            <v>0</v>
          </cell>
          <cell r="K488" t="str">
            <v>P0</v>
          </cell>
          <cell r="L488" t="str">
            <v>AGWR</v>
          </cell>
          <cell r="M488" t="str">
            <v>A</v>
          </cell>
          <cell r="N488" t="str">
            <v>G</v>
          </cell>
          <cell r="O488" t="str">
            <v>W</v>
          </cell>
          <cell r="P488" t="str">
            <v>R</v>
          </cell>
          <cell r="Q488" t="str">
            <v/>
          </cell>
          <cell r="R488" t="str">
            <v>-</v>
          </cell>
        </row>
        <row r="489">
          <cell r="A489">
            <v>373679</v>
          </cell>
          <cell r="B489">
            <v>102</v>
          </cell>
          <cell r="C489">
            <v>65</v>
          </cell>
          <cell r="D489" t="str">
            <v>195/50 R16</v>
          </cell>
          <cell r="E489">
            <v>88</v>
          </cell>
          <cell r="F489" t="str">
            <v>H</v>
          </cell>
          <cell r="G489" t="str">
            <v>SPEED GRIP 5 XL</v>
          </cell>
          <cell r="H489">
            <v>373679</v>
          </cell>
          <cell r="I489">
            <v>52102</v>
          </cell>
          <cell r="J489">
            <v>0</v>
          </cell>
          <cell r="K489" t="str">
            <v>P8</v>
          </cell>
          <cell r="L489" t="str">
            <v>AYY</v>
          </cell>
          <cell r="M489" t="str">
            <v>A</v>
          </cell>
          <cell r="N489" t="str">
            <v>Y</v>
          </cell>
          <cell r="O489" t="str">
            <v>Y</v>
          </cell>
          <cell r="P489" t="str">
            <v/>
          </cell>
          <cell r="Q489" t="str">
            <v/>
          </cell>
          <cell r="R489" t="str">
            <v>-</v>
          </cell>
        </row>
        <row r="490">
          <cell r="A490">
            <v>373681</v>
          </cell>
          <cell r="B490">
            <v>370</v>
          </cell>
          <cell r="C490">
            <v>5358</v>
          </cell>
          <cell r="D490" t="str">
            <v>215/50 R17</v>
          </cell>
          <cell r="E490">
            <v>95</v>
          </cell>
          <cell r="F490" t="str">
            <v>V</v>
          </cell>
          <cell r="G490" t="str">
            <v>SPEED GRIP 5 XL</v>
          </cell>
          <cell r="H490">
            <v>373681</v>
          </cell>
          <cell r="I490">
            <v>52370</v>
          </cell>
          <cell r="J490">
            <v>0</v>
          </cell>
          <cell r="K490" t="str">
            <v>P3</v>
          </cell>
          <cell r="L490" t="str">
            <v>YYYW</v>
          </cell>
          <cell r="M490" t="str">
            <v>Y</v>
          </cell>
          <cell r="N490" t="str">
            <v>Y</v>
          </cell>
          <cell r="O490" t="str">
            <v>Y</v>
          </cell>
          <cell r="P490" t="str">
            <v>W</v>
          </cell>
          <cell r="Q490" t="str">
            <v/>
          </cell>
          <cell r="R490" t="str">
            <v>-</v>
          </cell>
        </row>
        <row r="491">
          <cell r="A491">
            <v>373683</v>
          </cell>
          <cell r="B491">
            <v>798</v>
          </cell>
          <cell r="C491">
            <v>3043</v>
          </cell>
          <cell r="D491" t="str">
            <v>235/50 R18</v>
          </cell>
          <cell r="E491">
            <v>101</v>
          </cell>
          <cell r="F491" t="str">
            <v>V</v>
          </cell>
          <cell r="G491" t="str">
            <v>SPEED GRIP 5 XL</v>
          </cell>
          <cell r="H491">
            <v>373683</v>
          </cell>
          <cell r="I491">
            <v>52797</v>
          </cell>
          <cell r="J491">
            <v>0</v>
          </cell>
          <cell r="K491" t="str">
            <v>P4</v>
          </cell>
          <cell r="L491" t="str">
            <v>RWAO</v>
          </cell>
          <cell r="M491" t="str">
            <v>R</v>
          </cell>
          <cell r="N491" t="str">
            <v>W</v>
          </cell>
          <cell r="O491" t="str">
            <v>A</v>
          </cell>
          <cell r="P491" t="str">
            <v>O</v>
          </cell>
          <cell r="Q491" t="str">
            <v/>
          </cell>
          <cell r="R491" t="str">
            <v>-</v>
          </cell>
        </row>
        <row r="492">
          <cell r="A492">
            <v>373686</v>
          </cell>
          <cell r="B492" t="str">
            <v>-</v>
          </cell>
          <cell r="C492">
            <v>58137</v>
          </cell>
          <cell r="D492" t="str">
            <v>245/40 R18</v>
          </cell>
          <cell r="E492">
            <v>97</v>
          </cell>
          <cell r="F492" t="str">
            <v>V</v>
          </cell>
          <cell r="G492" t="str">
            <v>SPEED GRIP 5 XL</v>
          </cell>
          <cell r="H492">
            <v>373686</v>
          </cell>
          <cell r="I492">
            <v>52738</v>
          </cell>
          <cell r="J492">
            <v>0</v>
          </cell>
          <cell r="K492" t="str">
            <v>P4</v>
          </cell>
          <cell r="L492" t="str">
            <v>AAWGR</v>
          </cell>
          <cell r="M492" t="str">
            <v>A</v>
          </cell>
          <cell r="N492" t="str">
            <v>A</v>
          </cell>
          <cell r="O492" t="str">
            <v>W</v>
          </cell>
          <cell r="P492" t="str">
            <v>G</v>
          </cell>
          <cell r="Q492" t="str">
            <v>R</v>
          </cell>
          <cell r="R492" t="str">
            <v>-</v>
          </cell>
        </row>
        <row r="493">
          <cell r="A493">
            <v>373687</v>
          </cell>
          <cell r="B493" t="str">
            <v>-</v>
          </cell>
          <cell r="C493">
            <v>121</v>
          </cell>
          <cell r="D493" t="str">
            <v>205/55 R19</v>
          </cell>
          <cell r="E493">
            <v>97</v>
          </cell>
          <cell r="F493" t="str">
            <v>V</v>
          </cell>
          <cell r="G493" t="str">
            <v>SPEED GRIP 5 XL</v>
          </cell>
          <cell r="H493">
            <v>373687</v>
          </cell>
          <cell r="I493">
            <v>52232</v>
          </cell>
          <cell r="J493">
            <v>0</v>
          </cell>
          <cell r="K493" t="str">
            <v>P4</v>
          </cell>
          <cell r="L493" t="str">
            <v>A</v>
          </cell>
          <cell r="M493" t="str">
            <v>A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>-</v>
          </cell>
        </row>
        <row r="494">
          <cell r="A494">
            <v>373688</v>
          </cell>
          <cell r="B494" t="str">
            <v>-</v>
          </cell>
          <cell r="C494">
            <v>4090</v>
          </cell>
          <cell r="D494" t="str">
            <v>235/55 R19</v>
          </cell>
          <cell r="E494">
            <v>105</v>
          </cell>
          <cell r="F494" t="str">
            <v>V</v>
          </cell>
          <cell r="G494" t="str">
            <v>SPEED GRIP 5 XL</v>
          </cell>
          <cell r="H494">
            <v>373688</v>
          </cell>
          <cell r="I494">
            <v>52395</v>
          </cell>
          <cell r="J494">
            <v>0</v>
          </cell>
          <cell r="K494" t="str">
            <v>P3</v>
          </cell>
          <cell r="L494" t="str">
            <v>RRRRG</v>
          </cell>
          <cell r="M494" t="str">
            <v>R</v>
          </cell>
          <cell r="N494" t="str">
            <v>R</v>
          </cell>
          <cell r="O494" t="str">
            <v>R</v>
          </cell>
          <cell r="P494" t="str">
            <v>R</v>
          </cell>
          <cell r="Q494" t="str">
            <v>G</v>
          </cell>
          <cell r="R494" t="str">
            <v>-</v>
          </cell>
        </row>
        <row r="495">
          <cell r="A495">
            <v>373698</v>
          </cell>
          <cell r="B495">
            <v>237</v>
          </cell>
          <cell r="C495">
            <v>4056</v>
          </cell>
          <cell r="D495" t="str">
            <v>205/45 R16</v>
          </cell>
          <cell r="E495">
            <v>87</v>
          </cell>
          <cell r="F495" t="str">
            <v>H</v>
          </cell>
          <cell r="G495" t="str">
            <v>SPEED GRIP 5 XL</v>
          </cell>
          <cell r="H495">
            <v>373698</v>
          </cell>
          <cell r="I495">
            <v>52237</v>
          </cell>
          <cell r="J495">
            <v>0</v>
          </cell>
          <cell r="K495" t="str">
            <v>P4</v>
          </cell>
          <cell r="L495" t="str">
            <v>AGWO</v>
          </cell>
          <cell r="M495" t="str">
            <v>A</v>
          </cell>
          <cell r="N495" t="str">
            <v>G</v>
          </cell>
          <cell r="O495" t="str">
            <v>W</v>
          </cell>
          <cell r="P495" t="str">
            <v>O</v>
          </cell>
          <cell r="Q495" t="str">
            <v/>
          </cell>
          <cell r="R495" t="str">
            <v>-</v>
          </cell>
        </row>
        <row r="496">
          <cell r="A496">
            <v>373701</v>
          </cell>
          <cell r="B496">
            <v>205</v>
          </cell>
          <cell r="C496">
            <v>3040</v>
          </cell>
          <cell r="D496" t="str">
            <v>235/65 R17</v>
          </cell>
          <cell r="E496">
            <v>108</v>
          </cell>
          <cell r="F496" t="str">
            <v>V</v>
          </cell>
          <cell r="G496" t="str">
            <v>SPEED GRIP 5 XL</v>
          </cell>
          <cell r="H496">
            <v>373701</v>
          </cell>
          <cell r="I496">
            <v>52195</v>
          </cell>
          <cell r="J496">
            <v>0</v>
          </cell>
          <cell r="K496" t="str">
            <v>P4</v>
          </cell>
          <cell r="L496" t="str">
            <v>RRRWA</v>
          </cell>
          <cell r="M496" t="str">
            <v>R</v>
          </cell>
          <cell r="N496" t="str">
            <v>R</v>
          </cell>
          <cell r="O496" t="str">
            <v>R</v>
          </cell>
          <cell r="P496" t="str">
            <v>W</v>
          </cell>
          <cell r="Q496" t="str">
            <v>A</v>
          </cell>
          <cell r="R496" t="str">
            <v>-</v>
          </cell>
        </row>
        <row r="497">
          <cell r="A497">
            <v>373707</v>
          </cell>
          <cell r="B497">
            <v>367</v>
          </cell>
          <cell r="C497">
            <v>3042</v>
          </cell>
          <cell r="D497" t="str">
            <v>235/55 R18</v>
          </cell>
          <cell r="E497">
            <v>104</v>
          </cell>
          <cell r="F497" t="str">
            <v>V</v>
          </cell>
          <cell r="G497" t="str">
            <v>SPEED GRIP 5 XL</v>
          </cell>
          <cell r="H497">
            <v>373707</v>
          </cell>
          <cell r="I497">
            <v>52365</v>
          </cell>
          <cell r="J497">
            <v>0</v>
          </cell>
          <cell r="K497" t="str">
            <v>P4</v>
          </cell>
          <cell r="L497" t="str">
            <v>AWRR</v>
          </cell>
          <cell r="M497" t="str">
            <v>A</v>
          </cell>
          <cell r="N497" t="str">
            <v>W</v>
          </cell>
          <cell r="O497" t="str">
            <v>R</v>
          </cell>
          <cell r="P497" t="str">
            <v>R</v>
          </cell>
          <cell r="Q497" t="str">
            <v/>
          </cell>
          <cell r="R497" t="str">
            <v>-</v>
          </cell>
        </row>
        <row r="498">
          <cell r="A498">
            <v>373713</v>
          </cell>
          <cell r="B498">
            <v>450</v>
          </cell>
          <cell r="C498">
            <v>3097</v>
          </cell>
          <cell r="D498" t="str">
            <v>215/45 R16</v>
          </cell>
          <cell r="E498">
            <v>90</v>
          </cell>
          <cell r="F498" t="str">
            <v>V</v>
          </cell>
          <cell r="G498" t="str">
            <v>ALLSEASON-GRIP XL</v>
          </cell>
          <cell r="H498">
            <v>373713</v>
          </cell>
          <cell r="I498">
            <v>52410</v>
          </cell>
          <cell r="J498">
            <v>0</v>
          </cell>
          <cell r="K498" t="str">
            <v>P4</v>
          </cell>
          <cell r="L498" t="str">
            <v>GGWW</v>
          </cell>
          <cell r="M498" t="str">
            <v>G</v>
          </cell>
          <cell r="N498" t="str">
            <v>G</v>
          </cell>
          <cell r="O498" t="str">
            <v>W</v>
          </cell>
          <cell r="P498" t="str">
            <v>W</v>
          </cell>
          <cell r="Q498" t="str">
            <v/>
          </cell>
          <cell r="R498" t="str">
            <v>-</v>
          </cell>
        </row>
        <row r="499">
          <cell r="A499">
            <v>373715</v>
          </cell>
          <cell r="B499">
            <v>925</v>
          </cell>
          <cell r="C499">
            <v>62</v>
          </cell>
          <cell r="D499" t="str">
            <v>215/55 R17</v>
          </cell>
          <cell r="E499">
            <v>94</v>
          </cell>
          <cell r="F499" t="str">
            <v>V</v>
          </cell>
          <cell r="G499" t="str">
            <v>ALLSEASON-GRIP XL</v>
          </cell>
          <cell r="H499">
            <v>373715</v>
          </cell>
          <cell r="I499">
            <v>52810</v>
          </cell>
          <cell r="J499">
            <v>0</v>
          </cell>
          <cell r="K499" t="str">
            <v>P4</v>
          </cell>
          <cell r="L499" t="str">
            <v>YYYYO</v>
          </cell>
          <cell r="M499" t="str">
            <v>Y</v>
          </cell>
          <cell r="N499" t="str">
            <v>Y</v>
          </cell>
          <cell r="O499" t="str">
            <v>Y</v>
          </cell>
          <cell r="P499" t="str">
            <v>Y</v>
          </cell>
          <cell r="Q499" t="str">
            <v>O</v>
          </cell>
          <cell r="R499" t="str">
            <v>-</v>
          </cell>
        </row>
        <row r="500">
          <cell r="A500">
            <v>373717</v>
          </cell>
          <cell r="B500">
            <v>1</v>
          </cell>
          <cell r="C500">
            <v>4023</v>
          </cell>
          <cell r="D500" t="str">
            <v>225/55 R18</v>
          </cell>
          <cell r="E500">
            <v>102</v>
          </cell>
          <cell r="F500" t="str">
            <v>V</v>
          </cell>
          <cell r="G500" t="str">
            <v>ALLSEASON-GRIP XL</v>
          </cell>
          <cell r="H500">
            <v>373717</v>
          </cell>
          <cell r="I500">
            <v>52709</v>
          </cell>
          <cell r="J500">
            <v>0</v>
          </cell>
          <cell r="K500" t="str">
            <v>P0</v>
          </cell>
          <cell r="L500" t="str">
            <v>YOY</v>
          </cell>
          <cell r="M500" t="str">
            <v>Y</v>
          </cell>
          <cell r="N500" t="str">
            <v>O</v>
          </cell>
          <cell r="O500" t="str">
            <v>Y</v>
          </cell>
          <cell r="P500" t="str">
            <v/>
          </cell>
          <cell r="Q500" t="str">
            <v/>
          </cell>
          <cell r="R500" t="str">
            <v>-</v>
          </cell>
        </row>
        <row r="501">
          <cell r="A501">
            <v>373719</v>
          </cell>
          <cell r="B501">
            <v>737</v>
          </cell>
          <cell r="C501">
            <v>2017</v>
          </cell>
          <cell r="D501" t="str">
            <v>215/50 R17</v>
          </cell>
          <cell r="E501">
            <v>95</v>
          </cell>
          <cell r="F501" t="str">
            <v>W</v>
          </cell>
          <cell r="G501" t="str">
            <v>ALLSEASON-GRIP XL</v>
          </cell>
          <cell r="H501">
            <v>373719</v>
          </cell>
          <cell r="I501">
            <v>52732</v>
          </cell>
          <cell r="J501">
            <v>0</v>
          </cell>
          <cell r="K501" t="str">
            <v>P4</v>
          </cell>
          <cell r="L501" t="str">
            <v>GGGRY</v>
          </cell>
          <cell r="M501" t="str">
            <v>G</v>
          </cell>
          <cell r="N501" t="str">
            <v>G</v>
          </cell>
          <cell r="O501" t="str">
            <v>G</v>
          </cell>
          <cell r="P501" t="str">
            <v>R</v>
          </cell>
          <cell r="Q501" t="str">
            <v>Y</v>
          </cell>
          <cell r="R501" t="str">
            <v>-</v>
          </cell>
        </row>
        <row r="502">
          <cell r="A502">
            <v>373720</v>
          </cell>
          <cell r="B502">
            <v>941</v>
          </cell>
          <cell r="C502">
            <v>5278</v>
          </cell>
          <cell r="D502" t="str">
            <v>215/55 R18</v>
          </cell>
          <cell r="E502">
            <v>99</v>
          </cell>
          <cell r="F502" t="str">
            <v>V</v>
          </cell>
          <cell r="G502" t="str">
            <v>ALLSEASON-GRIP XL</v>
          </cell>
          <cell r="H502">
            <v>373720</v>
          </cell>
          <cell r="I502">
            <v>52442</v>
          </cell>
          <cell r="J502">
            <v>0</v>
          </cell>
          <cell r="K502" t="str">
            <v>P4</v>
          </cell>
          <cell r="L502" t="str">
            <v>YYAY</v>
          </cell>
          <cell r="M502" t="str">
            <v>Y</v>
          </cell>
          <cell r="N502" t="str">
            <v>Y</v>
          </cell>
          <cell r="O502" t="str">
            <v>A</v>
          </cell>
          <cell r="P502" t="str">
            <v>Y</v>
          </cell>
          <cell r="Q502" t="str">
            <v/>
          </cell>
          <cell r="R502" t="str">
            <v>-</v>
          </cell>
        </row>
        <row r="503">
          <cell r="A503">
            <v>373721</v>
          </cell>
          <cell r="B503" t="str">
            <v>-</v>
          </cell>
          <cell r="C503">
            <v>58017</v>
          </cell>
          <cell r="D503" t="str">
            <v>205/45 R17</v>
          </cell>
          <cell r="E503">
            <v>88</v>
          </cell>
          <cell r="F503" t="str">
            <v>V</v>
          </cell>
          <cell r="G503" t="str">
            <v>ALLSEASON-GRIP XL</v>
          </cell>
          <cell r="H503">
            <v>373721</v>
          </cell>
          <cell r="I503">
            <v>52292</v>
          </cell>
          <cell r="J503">
            <v>0</v>
          </cell>
          <cell r="K503" t="str">
            <v>P3</v>
          </cell>
          <cell r="L503" t="str">
            <v>AAGRR</v>
          </cell>
          <cell r="M503" t="str">
            <v>A</v>
          </cell>
          <cell r="N503" t="str">
            <v>A</v>
          </cell>
          <cell r="O503" t="str">
            <v>G</v>
          </cell>
          <cell r="P503" t="str">
            <v>R</v>
          </cell>
          <cell r="Q503" t="str">
            <v>R</v>
          </cell>
          <cell r="R503" t="str">
            <v>-</v>
          </cell>
        </row>
        <row r="504">
          <cell r="A504">
            <v>373723</v>
          </cell>
          <cell r="B504">
            <v>618</v>
          </cell>
          <cell r="C504">
            <v>5178</v>
          </cell>
          <cell r="D504" t="str">
            <v>215/45 R16</v>
          </cell>
          <cell r="E504">
            <v>90</v>
          </cell>
          <cell r="F504" t="str">
            <v>V</v>
          </cell>
          <cell r="G504" t="str">
            <v>SPEED GRIP 5 XL</v>
          </cell>
          <cell r="H504">
            <v>373723</v>
          </cell>
          <cell r="I504">
            <v>52658</v>
          </cell>
          <cell r="J504">
            <v>0</v>
          </cell>
          <cell r="K504" t="str">
            <v>P4</v>
          </cell>
          <cell r="L504" t="str">
            <v>WWOOA</v>
          </cell>
          <cell r="M504" t="str">
            <v>W</v>
          </cell>
          <cell r="N504" t="str">
            <v>W</v>
          </cell>
          <cell r="O504" t="str">
            <v>O</v>
          </cell>
          <cell r="P504" t="str">
            <v>O</v>
          </cell>
          <cell r="Q504" t="str">
            <v>A</v>
          </cell>
          <cell r="R504" t="str">
            <v>-</v>
          </cell>
        </row>
        <row r="505">
          <cell r="A505">
            <v>373728</v>
          </cell>
          <cell r="B505">
            <v>923</v>
          </cell>
          <cell r="C505">
            <v>3039</v>
          </cell>
          <cell r="D505" t="str">
            <v>195/60 R16</v>
          </cell>
          <cell r="E505">
            <v>89</v>
          </cell>
          <cell r="F505" t="str">
            <v>H</v>
          </cell>
          <cell r="G505" t="str">
            <v>ALLSEASON-GRIP</v>
          </cell>
          <cell r="H505">
            <v>373728</v>
          </cell>
          <cell r="I505">
            <v>52483</v>
          </cell>
          <cell r="J505">
            <v>0</v>
          </cell>
          <cell r="K505" t="str">
            <v>P0</v>
          </cell>
          <cell r="L505" t="str">
            <v>AGWR</v>
          </cell>
          <cell r="M505" t="str">
            <v>A</v>
          </cell>
          <cell r="N505" t="str">
            <v>G</v>
          </cell>
          <cell r="O505" t="str">
            <v>W</v>
          </cell>
          <cell r="P505" t="str">
            <v>R</v>
          </cell>
          <cell r="Q505" t="str">
            <v/>
          </cell>
          <cell r="R505" t="str">
            <v>-</v>
          </cell>
        </row>
        <row r="506">
          <cell r="A506">
            <v>373730</v>
          </cell>
          <cell r="B506">
            <v>927</v>
          </cell>
          <cell r="C506">
            <v>3036</v>
          </cell>
          <cell r="D506" t="str">
            <v>195/45 R16</v>
          </cell>
          <cell r="E506">
            <v>84</v>
          </cell>
          <cell r="F506" t="str">
            <v>V</v>
          </cell>
          <cell r="G506" t="str">
            <v>ALLSEASON-GRIP XL</v>
          </cell>
          <cell r="H506">
            <v>373730</v>
          </cell>
          <cell r="I506">
            <v>52577</v>
          </cell>
          <cell r="J506">
            <v>0</v>
          </cell>
          <cell r="K506" t="str">
            <v>P8</v>
          </cell>
          <cell r="L506" t="str">
            <v>GOGWG</v>
          </cell>
          <cell r="M506" t="str">
            <v>G</v>
          </cell>
          <cell r="N506" t="str">
            <v>O</v>
          </cell>
          <cell r="O506" t="str">
            <v>G</v>
          </cell>
          <cell r="P506" t="str">
            <v>W</v>
          </cell>
          <cell r="Q506" t="str">
            <v>G</v>
          </cell>
          <cell r="R506" t="str">
            <v>-</v>
          </cell>
        </row>
        <row r="507">
          <cell r="A507">
            <v>373736</v>
          </cell>
          <cell r="B507">
            <v>798</v>
          </cell>
          <cell r="C507">
            <v>3043</v>
          </cell>
          <cell r="D507" t="str">
            <v>235/50 R18</v>
          </cell>
          <cell r="E507">
            <v>101</v>
          </cell>
          <cell r="F507" t="str">
            <v>V</v>
          </cell>
          <cell r="G507" t="str">
            <v>ALLSEASON-GRIP XL</v>
          </cell>
          <cell r="H507">
            <v>373736</v>
          </cell>
          <cell r="I507">
            <v>52797</v>
          </cell>
          <cell r="J507">
            <v>0</v>
          </cell>
          <cell r="K507" t="str">
            <v>P4</v>
          </cell>
          <cell r="L507" t="str">
            <v>RWAO</v>
          </cell>
          <cell r="M507" t="str">
            <v>R</v>
          </cell>
          <cell r="N507" t="str">
            <v>W</v>
          </cell>
          <cell r="O507" t="str">
            <v>A</v>
          </cell>
          <cell r="P507" t="str">
            <v>O</v>
          </cell>
          <cell r="Q507" t="str">
            <v/>
          </cell>
          <cell r="R507" t="str">
            <v>-</v>
          </cell>
        </row>
        <row r="508">
          <cell r="A508">
            <v>373817</v>
          </cell>
          <cell r="B508" t="str">
            <v>-</v>
          </cell>
          <cell r="C508">
            <v>3056</v>
          </cell>
          <cell r="D508" t="str">
            <v>185/60 R15</v>
          </cell>
          <cell r="E508">
            <v>88</v>
          </cell>
          <cell r="F508" t="str">
            <v>H</v>
          </cell>
          <cell r="G508" t="str">
            <v>ALLSEASON-GRIP 2 XL</v>
          </cell>
          <cell r="H508">
            <v>373817</v>
          </cell>
          <cell r="I508">
            <v>52433</v>
          </cell>
          <cell r="J508">
            <v>0</v>
          </cell>
          <cell r="K508" t="str">
            <v>P2</v>
          </cell>
          <cell r="L508" t="str">
            <v>GAW</v>
          </cell>
          <cell r="M508" t="str">
            <v>G</v>
          </cell>
          <cell r="N508" t="str">
            <v>A</v>
          </cell>
          <cell r="O508" t="str">
            <v>W</v>
          </cell>
          <cell r="P508" t="str">
            <v/>
          </cell>
          <cell r="Q508" t="str">
            <v/>
          </cell>
          <cell r="R508" t="str">
            <v>-</v>
          </cell>
        </row>
        <row r="509">
          <cell r="A509">
            <v>373829</v>
          </cell>
          <cell r="B509" t="str">
            <v>-</v>
          </cell>
          <cell r="C509">
            <v>58006</v>
          </cell>
          <cell r="D509" t="str">
            <v>215/40 R17</v>
          </cell>
          <cell r="E509">
            <v>87</v>
          </cell>
          <cell r="F509" t="str">
            <v>V</v>
          </cell>
          <cell r="G509" t="str">
            <v>ALLSEASON-GRIP 2 XL</v>
          </cell>
          <cell r="H509">
            <v>373829</v>
          </cell>
          <cell r="I509">
            <v>52533</v>
          </cell>
          <cell r="J509">
            <v>0</v>
          </cell>
          <cell r="K509" t="str">
            <v>P2</v>
          </cell>
          <cell r="L509" t="str">
            <v>OGGGG</v>
          </cell>
          <cell r="M509" t="str">
            <v>O</v>
          </cell>
          <cell r="N509" t="str">
            <v>G</v>
          </cell>
          <cell r="O509" t="str">
            <v>G</v>
          </cell>
          <cell r="P509" t="str">
            <v>G</v>
          </cell>
          <cell r="Q509" t="str">
            <v>G</v>
          </cell>
          <cell r="R509" t="str">
            <v>-</v>
          </cell>
        </row>
        <row r="510">
          <cell r="A510">
            <v>373841</v>
          </cell>
          <cell r="B510" t="str">
            <v>-</v>
          </cell>
          <cell r="C510">
            <v>58074</v>
          </cell>
          <cell r="D510" t="str">
            <v>245/40 R18</v>
          </cell>
          <cell r="E510">
            <v>97</v>
          </cell>
          <cell r="F510" t="str">
            <v>Y</v>
          </cell>
          <cell r="G510" t="str">
            <v>ALLSEASON-GRIP 2 XL</v>
          </cell>
          <cell r="H510">
            <v>373841</v>
          </cell>
          <cell r="I510">
            <v>52488</v>
          </cell>
          <cell r="J510">
            <v>0</v>
          </cell>
          <cell r="K510" t="str">
            <v>P2</v>
          </cell>
          <cell r="L510" t="str">
            <v>YYYWW</v>
          </cell>
          <cell r="M510" t="str">
            <v>Y</v>
          </cell>
          <cell r="N510" t="str">
            <v>Y</v>
          </cell>
          <cell r="O510" t="str">
            <v>Y</v>
          </cell>
          <cell r="P510" t="str">
            <v>W</v>
          </cell>
          <cell r="Q510" t="str">
            <v>W</v>
          </cell>
          <cell r="R510" t="str">
            <v>-</v>
          </cell>
        </row>
        <row r="511">
          <cell r="A511">
            <v>373842</v>
          </cell>
          <cell r="B511" t="str">
            <v>-</v>
          </cell>
          <cell r="C511">
            <v>6031</v>
          </cell>
          <cell r="D511" t="str">
            <v>205/55 R19</v>
          </cell>
          <cell r="E511">
            <v>97</v>
          </cell>
          <cell r="F511" t="str">
            <v>V</v>
          </cell>
          <cell r="G511" t="str">
            <v>ALLSEASON-GRIP 2 XL</v>
          </cell>
          <cell r="H511">
            <v>373842</v>
          </cell>
          <cell r="I511">
            <v>52287</v>
          </cell>
          <cell r="J511">
            <v>0</v>
          </cell>
          <cell r="K511" t="str">
            <v>P2</v>
          </cell>
          <cell r="L511" t="str">
            <v>GAYAA</v>
          </cell>
          <cell r="M511" t="str">
            <v>G</v>
          </cell>
          <cell r="N511" t="str">
            <v>A</v>
          </cell>
          <cell r="O511" t="str">
            <v>Y</v>
          </cell>
          <cell r="P511" t="str">
            <v>A</v>
          </cell>
          <cell r="Q511" t="str">
            <v>A</v>
          </cell>
          <cell r="R511" t="str">
            <v>-</v>
          </cell>
        </row>
        <row r="512">
          <cell r="A512">
            <v>373847</v>
          </cell>
          <cell r="B512" t="str">
            <v>-</v>
          </cell>
          <cell r="C512">
            <v>6005</v>
          </cell>
          <cell r="D512" t="str">
            <v>235/50 R19</v>
          </cell>
          <cell r="E512">
            <v>103</v>
          </cell>
          <cell r="F512" t="str">
            <v>W</v>
          </cell>
          <cell r="G512" t="str">
            <v>ALLSEASON-GRIP 2 XL</v>
          </cell>
          <cell r="H512">
            <v>373847</v>
          </cell>
          <cell r="I512">
            <v>52505</v>
          </cell>
          <cell r="J512">
            <v>0</v>
          </cell>
          <cell r="K512" t="str">
            <v>P2</v>
          </cell>
          <cell r="L512" t="str">
            <v>AAWWR</v>
          </cell>
          <cell r="M512" t="str">
            <v>A</v>
          </cell>
          <cell r="N512" t="str">
            <v>A</v>
          </cell>
          <cell r="O512" t="str">
            <v>W</v>
          </cell>
          <cell r="P512" t="str">
            <v>W</v>
          </cell>
          <cell r="Q512" t="str">
            <v>R</v>
          </cell>
          <cell r="R512" t="str">
            <v>-</v>
          </cell>
        </row>
        <row r="513">
          <cell r="A513">
            <v>432046</v>
          </cell>
          <cell r="B513">
            <v>119</v>
          </cell>
          <cell r="C513">
            <v>74</v>
          </cell>
          <cell r="D513" t="str">
            <v>235/50 R19</v>
          </cell>
          <cell r="E513">
            <v>99</v>
          </cell>
          <cell r="F513" t="str">
            <v>V</v>
          </cell>
          <cell r="G513" t="str">
            <v>CSC5</v>
          </cell>
          <cell r="H513">
            <v>432046</v>
          </cell>
          <cell r="I513">
            <v>52119</v>
          </cell>
          <cell r="J513">
            <v>0</v>
          </cell>
          <cell r="K513" t="str">
            <v>P7</v>
          </cell>
          <cell r="L513" t="str">
            <v>YRA</v>
          </cell>
          <cell r="M513" t="str">
            <v>Y</v>
          </cell>
          <cell r="N513" t="str">
            <v>R</v>
          </cell>
          <cell r="O513" t="str">
            <v>A</v>
          </cell>
          <cell r="P513" t="str">
            <v/>
          </cell>
          <cell r="Q513" t="str">
            <v/>
          </cell>
          <cell r="R513" t="str">
            <v>-</v>
          </cell>
        </row>
        <row r="514">
          <cell r="A514">
            <v>449000</v>
          </cell>
          <cell r="B514">
            <v>822</v>
          </cell>
          <cell r="C514">
            <v>3184</v>
          </cell>
          <cell r="D514" t="str">
            <v>215/55 R18</v>
          </cell>
          <cell r="E514">
            <v>99</v>
          </cell>
          <cell r="F514" t="str">
            <v>V</v>
          </cell>
          <cell r="G514" t="str">
            <v>GRABBER GT+ XL</v>
          </cell>
          <cell r="H514">
            <v>449000</v>
          </cell>
          <cell r="I514">
            <v>52821</v>
          </cell>
          <cell r="J514">
            <v>0</v>
          </cell>
          <cell r="K514" t="str">
            <v>P4</v>
          </cell>
          <cell r="L514" t="str">
            <v>YYW</v>
          </cell>
          <cell r="M514" t="str">
            <v>Y</v>
          </cell>
          <cell r="N514" t="str">
            <v>Y</v>
          </cell>
          <cell r="O514" t="str">
            <v>W</v>
          </cell>
          <cell r="P514" t="str">
            <v/>
          </cell>
          <cell r="Q514" t="str">
            <v/>
          </cell>
          <cell r="R514" t="str">
            <v>-</v>
          </cell>
        </row>
        <row r="515">
          <cell r="A515">
            <v>449016</v>
          </cell>
          <cell r="B515">
            <v>978</v>
          </cell>
          <cell r="C515">
            <v>5119</v>
          </cell>
          <cell r="D515" t="str">
            <v>225/55 R18</v>
          </cell>
          <cell r="E515">
            <v>98</v>
          </cell>
          <cell r="F515" t="str">
            <v>V</v>
          </cell>
          <cell r="G515" t="str">
            <v>GRABBER GT PLUS</v>
          </cell>
          <cell r="H515">
            <v>449016</v>
          </cell>
          <cell r="I515">
            <v>52778</v>
          </cell>
          <cell r="J515">
            <v>0</v>
          </cell>
          <cell r="K515" t="str">
            <v>P4</v>
          </cell>
          <cell r="L515" t="str">
            <v>ROGWG</v>
          </cell>
          <cell r="M515" t="str">
            <v>R</v>
          </cell>
          <cell r="N515" t="str">
            <v>O</v>
          </cell>
          <cell r="O515" t="str">
            <v>G</v>
          </cell>
          <cell r="P515" t="str">
            <v>W</v>
          </cell>
          <cell r="Q515" t="str">
            <v>G</v>
          </cell>
          <cell r="R515" t="str">
            <v>-</v>
          </cell>
        </row>
        <row r="516">
          <cell r="A516">
            <v>449017</v>
          </cell>
          <cell r="B516">
            <v>871</v>
          </cell>
          <cell r="C516">
            <v>5019</v>
          </cell>
          <cell r="D516" t="str">
            <v>225/55 R19</v>
          </cell>
          <cell r="E516">
            <v>99</v>
          </cell>
          <cell r="F516" t="str">
            <v>V</v>
          </cell>
          <cell r="G516" t="str">
            <v>GRABBER</v>
          </cell>
          <cell r="H516">
            <v>449017</v>
          </cell>
          <cell r="I516">
            <v>52873</v>
          </cell>
          <cell r="J516">
            <v>0</v>
          </cell>
          <cell r="K516" t="str">
            <v>P4</v>
          </cell>
          <cell r="L516" t="str">
            <v>RYOA</v>
          </cell>
          <cell r="M516" t="str">
            <v>R</v>
          </cell>
          <cell r="N516" t="str">
            <v>Y</v>
          </cell>
          <cell r="O516" t="str">
            <v>O</v>
          </cell>
          <cell r="P516" t="str">
            <v>A</v>
          </cell>
          <cell r="Q516" t="str">
            <v/>
          </cell>
          <cell r="R516" t="str">
            <v>-</v>
          </cell>
        </row>
        <row r="517">
          <cell r="A517">
            <v>449018</v>
          </cell>
          <cell r="B517">
            <v>893</v>
          </cell>
          <cell r="C517">
            <v>4018</v>
          </cell>
          <cell r="D517" t="str">
            <v>225/60 R17</v>
          </cell>
          <cell r="E517">
            <v>99</v>
          </cell>
          <cell r="F517" t="str">
            <v>V</v>
          </cell>
          <cell r="G517" t="str">
            <v>GRABBER GT PLUS</v>
          </cell>
          <cell r="H517">
            <v>449018</v>
          </cell>
          <cell r="I517">
            <v>52793</v>
          </cell>
          <cell r="J517">
            <v>0</v>
          </cell>
          <cell r="K517" t="str">
            <v>P4</v>
          </cell>
          <cell r="L517" t="str">
            <v>RRROW</v>
          </cell>
          <cell r="M517" t="str">
            <v>R</v>
          </cell>
          <cell r="N517" t="str">
            <v>R</v>
          </cell>
          <cell r="O517" t="str">
            <v>R</v>
          </cell>
          <cell r="P517" t="str">
            <v>O</v>
          </cell>
          <cell r="Q517" t="str">
            <v>W</v>
          </cell>
          <cell r="R517" t="str">
            <v>-</v>
          </cell>
        </row>
        <row r="518">
          <cell r="A518">
            <v>449023</v>
          </cell>
          <cell r="B518">
            <v>489</v>
          </cell>
          <cell r="C518">
            <v>5282</v>
          </cell>
          <cell r="D518" t="str">
            <v>235/45 R19</v>
          </cell>
          <cell r="E518">
            <v>99</v>
          </cell>
          <cell r="F518" t="str">
            <v>W</v>
          </cell>
          <cell r="G518" t="str">
            <v>GRABBER GT PLUS XL</v>
          </cell>
          <cell r="H518">
            <v>449023</v>
          </cell>
          <cell r="I518">
            <v>52489</v>
          </cell>
          <cell r="J518">
            <v>0</v>
          </cell>
          <cell r="K518" t="str">
            <v>P4</v>
          </cell>
          <cell r="L518" t="str">
            <v>WGR</v>
          </cell>
          <cell r="M518" t="str">
            <v>W</v>
          </cell>
          <cell r="N518" t="str">
            <v>G</v>
          </cell>
          <cell r="O518" t="str">
            <v>R</v>
          </cell>
          <cell r="P518" t="str">
            <v/>
          </cell>
          <cell r="Q518" t="str">
            <v/>
          </cell>
          <cell r="R518" t="str">
            <v>-</v>
          </cell>
        </row>
        <row r="519">
          <cell r="A519">
            <v>449024</v>
          </cell>
          <cell r="B519">
            <v>949</v>
          </cell>
          <cell r="C519">
            <v>5382</v>
          </cell>
          <cell r="D519" t="str">
            <v>235/50 R18</v>
          </cell>
          <cell r="E519">
            <v>97</v>
          </cell>
          <cell r="F519" t="str">
            <v>V</v>
          </cell>
          <cell r="G519" t="str">
            <v>GRABBER GT PLUS</v>
          </cell>
          <cell r="H519">
            <v>449024</v>
          </cell>
          <cell r="I519">
            <v>52849</v>
          </cell>
          <cell r="J519">
            <v>0</v>
          </cell>
          <cell r="K519" t="str">
            <v>P4</v>
          </cell>
          <cell r="L519" t="str">
            <v>WRA</v>
          </cell>
          <cell r="M519" t="str">
            <v>W</v>
          </cell>
          <cell r="N519" t="str">
            <v>R</v>
          </cell>
          <cell r="O519" t="str">
            <v>A</v>
          </cell>
          <cell r="P519" t="str">
            <v/>
          </cell>
          <cell r="Q519" t="str">
            <v/>
          </cell>
          <cell r="R519" t="str">
            <v>-</v>
          </cell>
        </row>
        <row r="520">
          <cell r="A520">
            <v>449025</v>
          </cell>
          <cell r="B520">
            <v>840</v>
          </cell>
          <cell r="C520">
            <v>5482</v>
          </cell>
          <cell r="D520" t="str">
            <v>235/50 R18</v>
          </cell>
          <cell r="E520">
            <v>101</v>
          </cell>
          <cell r="F520" t="str">
            <v>Y</v>
          </cell>
          <cell r="G520" t="str">
            <v>GRABBER GT PLUS XL</v>
          </cell>
          <cell r="H520">
            <v>449025</v>
          </cell>
          <cell r="I520">
            <v>52842</v>
          </cell>
          <cell r="J520">
            <v>0</v>
          </cell>
          <cell r="K520" t="str">
            <v>P4</v>
          </cell>
          <cell r="L520" t="str">
            <v>YRY</v>
          </cell>
          <cell r="M520" t="str">
            <v>Y</v>
          </cell>
          <cell r="N520" t="str">
            <v>R</v>
          </cell>
          <cell r="O520" t="str">
            <v>Y</v>
          </cell>
          <cell r="P520" t="str">
            <v/>
          </cell>
          <cell r="Q520" t="str">
            <v/>
          </cell>
          <cell r="R520" t="str">
            <v>-</v>
          </cell>
        </row>
        <row r="521">
          <cell r="A521">
            <v>449026</v>
          </cell>
          <cell r="B521">
            <v>699</v>
          </cell>
          <cell r="C521">
            <v>3416</v>
          </cell>
          <cell r="D521" t="str">
            <v>235/50 R19</v>
          </cell>
          <cell r="E521">
            <v>99</v>
          </cell>
          <cell r="F521" t="str">
            <v>V</v>
          </cell>
          <cell r="G521" t="str">
            <v>GRABBER</v>
          </cell>
          <cell r="H521">
            <v>449026</v>
          </cell>
          <cell r="I521">
            <v>52799</v>
          </cell>
          <cell r="J521">
            <v>0</v>
          </cell>
          <cell r="K521" t="str">
            <v>P4</v>
          </cell>
          <cell r="L521" t="str">
            <v>GGG</v>
          </cell>
          <cell r="M521" t="str">
            <v>G</v>
          </cell>
          <cell r="N521" t="str">
            <v>G</v>
          </cell>
          <cell r="O521" t="str">
            <v>G</v>
          </cell>
          <cell r="P521" t="str">
            <v/>
          </cell>
          <cell r="Q521" t="str">
            <v/>
          </cell>
          <cell r="R521" t="str">
            <v>-</v>
          </cell>
        </row>
        <row r="522">
          <cell r="A522">
            <v>449029</v>
          </cell>
          <cell r="B522">
            <v>983</v>
          </cell>
          <cell r="C522">
            <v>5082</v>
          </cell>
          <cell r="D522" t="str">
            <v>235/55 R18</v>
          </cell>
          <cell r="E522">
            <v>100</v>
          </cell>
          <cell r="F522" t="str">
            <v>H</v>
          </cell>
          <cell r="G522" t="str">
            <v>GRABBER GT PLUS</v>
          </cell>
          <cell r="H522">
            <v>449029</v>
          </cell>
          <cell r="I522">
            <v>52783</v>
          </cell>
          <cell r="J522">
            <v>0</v>
          </cell>
          <cell r="K522" t="str">
            <v>P4</v>
          </cell>
          <cell r="L522" t="str">
            <v>AGA</v>
          </cell>
          <cell r="M522" t="str">
            <v>A</v>
          </cell>
          <cell r="N522" t="str">
            <v>G</v>
          </cell>
          <cell r="O522" t="str">
            <v>A</v>
          </cell>
          <cell r="P522" t="str">
            <v/>
          </cell>
          <cell r="Q522" t="str">
            <v/>
          </cell>
          <cell r="R522" t="str">
            <v>-</v>
          </cell>
        </row>
        <row r="523">
          <cell r="A523">
            <v>449030</v>
          </cell>
          <cell r="B523">
            <v>883</v>
          </cell>
          <cell r="C523">
            <v>5182</v>
          </cell>
          <cell r="D523" t="str">
            <v>235/55 R18</v>
          </cell>
          <cell r="E523">
            <v>100</v>
          </cell>
          <cell r="F523" t="str">
            <v>V</v>
          </cell>
          <cell r="G523" t="str">
            <v>GRABBER GT PLUS</v>
          </cell>
          <cell r="H523">
            <v>449030</v>
          </cell>
          <cell r="I523">
            <v>52803</v>
          </cell>
          <cell r="J523">
            <v>0</v>
          </cell>
          <cell r="K523" t="str">
            <v>P4</v>
          </cell>
          <cell r="L523" t="str">
            <v>AAYO</v>
          </cell>
          <cell r="M523" t="str">
            <v>A</v>
          </cell>
          <cell r="N523" t="str">
            <v>A</v>
          </cell>
          <cell r="O523" t="str">
            <v>Y</v>
          </cell>
          <cell r="P523" t="str">
            <v>O</v>
          </cell>
          <cell r="Q523" t="str">
            <v/>
          </cell>
          <cell r="R523" t="str">
            <v>-</v>
          </cell>
        </row>
        <row r="524">
          <cell r="A524">
            <v>449152</v>
          </cell>
          <cell r="B524">
            <v>316</v>
          </cell>
          <cell r="C524">
            <v>5012</v>
          </cell>
          <cell r="D524" t="str">
            <v>215/55 R18</v>
          </cell>
          <cell r="E524">
            <v>99</v>
          </cell>
          <cell r="F524" t="str">
            <v>V</v>
          </cell>
          <cell r="G524" t="str">
            <v>SNOW GRABBER PLUS XL</v>
          </cell>
          <cell r="H524">
            <v>449152</v>
          </cell>
          <cell r="I524">
            <v>52114</v>
          </cell>
          <cell r="J524">
            <v>0</v>
          </cell>
          <cell r="K524" t="str">
            <v>P4</v>
          </cell>
          <cell r="L524" t="str">
            <v>YRYG</v>
          </cell>
          <cell r="M524" t="str">
            <v>Y</v>
          </cell>
          <cell r="N524" t="str">
            <v>R</v>
          </cell>
          <cell r="O524" t="str">
            <v>Y</v>
          </cell>
          <cell r="P524" t="str">
            <v>G</v>
          </cell>
          <cell r="Q524" t="str">
            <v/>
          </cell>
          <cell r="R524" t="str">
            <v>-</v>
          </cell>
        </row>
        <row r="525">
          <cell r="A525">
            <v>450554</v>
          </cell>
          <cell r="B525" t="str">
            <v>-</v>
          </cell>
          <cell r="C525">
            <v>5112</v>
          </cell>
          <cell r="D525" t="str">
            <v>215/55 R18</v>
          </cell>
          <cell r="E525">
            <v>99</v>
          </cell>
          <cell r="F525" t="str">
            <v>V</v>
          </cell>
          <cell r="G525" t="str">
            <v>GRABBER A/S 365 XL</v>
          </cell>
          <cell r="H525">
            <v>450554</v>
          </cell>
          <cell r="I525">
            <v>52696</v>
          </cell>
          <cell r="J525">
            <v>0</v>
          </cell>
          <cell r="K525" t="str">
            <v>P4</v>
          </cell>
          <cell r="L525" t="str">
            <v>GAAR</v>
          </cell>
          <cell r="M525" t="str">
            <v>G</v>
          </cell>
          <cell r="N525" t="str">
            <v>A</v>
          </cell>
          <cell r="O525" t="str">
            <v>A</v>
          </cell>
          <cell r="P525" t="str">
            <v>R</v>
          </cell>
          <cell r="Q525" t="str">
            <v/>
          </cell>
          <cell r="R525" t="str">
            <v>-</v>
          </cell>
        </row>
        <row r="526">
          <cell r="A526">
            <v>450747</v>
          </cell>
          <cell r="B526" t="str">
            <v>-</v>
          </cell>
          <cell r="C526">
            <v>5030</v>
          </cell>
          <cell r="D526" t="str">
            <v>235/55 R19</v>
          </cell>
          <cell r="E526">
            <v>105</v>
          </cell>
          <cell r="F526" t="str">
            <v>V</v>
          </cell>
          <cell r="G526" t="str">
            <v>SNOW GRABBER PLUS XL</v>
          </cell>
          <cell r="H526">
            <v>450747</v>
          </cell>
          <cell r="I526">
            <v>52316</v>
          </cell>
          <cell r="J526">
            <v>0</v>
          </cell>
          <cell r="K526" t="str">
            <v>P3</v>
          </cell>
          <cell r="L526" t="str">
            <v>YYYYY</v>
          </cell>
          <cell r="M526" t="str">
            <v>Y</v>
          </cell>
          <cell r="N526" t="str">
            <v>Y</v>
          </cell>
          <cell r="O526" t="str">
            <v>Y</v>
          </cell>
          <cell r="P526" t="str">
            <v>Y</v>
          </cell>
          <cell r="Q526" t="str">
            <v>Y</v>
          </cell>
          <cell r="R526" t="str">
            <v>-</v>
          </cell>
        </row>
        <row r="527">
          <cell r="A527">
            <v>450749</v>
          </cell>
          <cell r="B527" t="str">
            <v>-</v>
          </cell>
          <cell r="C527">
            <v>5100</v>
          </cell>
          <cell r="D527" t="str">
            <v>235/60 R18</v>
          </cell>
          <cell r="E527">
            <v>107</v>
          </cell>
          <cell r="F527" t="str">
            <v>H</v>
          </cell>
          <cell r="G527" t="str">
            <v>SNOW GRABBER XL</v>
          </cell>
          <cell r="H527">
            <v>450749</v>
          </cell>
          <cell r="I527">
            <v>52212</v>
          </cell>
          <cell r="J527">
            <v>0</v>
          </cell>
          <cell r="K527" t="str">
            <v>P4</v>
          </cell>
          <cell r="L527" t="str">
            <v>GYA</v>
          </cell>
          <cell r="M527" t="str">
            <v>G</v>
          </cell>
          <cell r="N527" t="str">
            <v>Y</v>
          </cell>
          <cell r="O527" t="str">
            <v>A</v>
          </cell>
          <cell r="P527" t="str">
            <v/>
          </cell>
          <cell r="Q527" t="str">
            <v/>
          </cell>
          <cell r="R527" t="str">
            <v>-</v>
          </cell>
        </row>
        <row r="528">
          <cell r="A528">
            <v>450755</v>
          </cell>
          <cell r="B528">
            <v>919</v>
          </cell>
          <cell r="C528">
            <v>2031</v>
          </cell>
          <cell r="D528" t="str">
            <v>255/55 R18</v>
          </cell>
          <cell r="E528">
            <v>109</v>
          </cell>
          <cell r="F528" t="str">
            <v>H</v>
          </cell>
          <cell r="G528" t="str">
            <v>SNOW GRABBER PLUS XL</v>
          </cell>
          <cell r="H528">
            <v>450755</v>
          </cell>
          <cell r="I528">
            <v>52900</v>
          </cell>
          <cell r="J528">
            <v>0</v>
          </cell>
          <cell r="K528" t="str">
            <v>R</v>
          </cell>
          <cell r="L528" t="str">
            <v>YYYRA</v>
          </cell>
          <cell r="M528" t="str">
            <v>Y</v>
          </cell>
          <cell r="N528" t="str">
            <v>Y</v>
          </cell>
          <cell r="O528" t="str">
            <v>Y</v>
          </cell>
          <cell r="P528" t="str">
            <v>R</v>
          </cell>
          <cell r="Q528" t="str">
            <v>A</v>
          </cell>
          <cell r="R528" t="str">
            <v>-</v>
          </cell>
        </row>
        <row r="529">
          <cell r="A529">
            <v>450756</v>
          </cell>
          <cell r="B529">
            <v>535</v>
          </cell>
          <cell r="C529">
            <v>2131</v>
          </cell>
          <cell r="D529" t="str">
            <v>255/55 R18</v>
          </cell>
          <cell r="E529">
            <v>109</v>
          </cell>
          <cell r="F529" t="str">
            <v>V</v>
          </cell>
          <cell r="G529" t="str">
            <v>SNOW GRABBER PLUS XL</v>
          </cell>
          <cell r="H529">
            <v>450756</v>
          </cell>
          <cell r="I529">
            <v>52565</v>
          </cell>
          <cell r="J529">
            <v>0</v>
          </cell>
          <cell r="K529" t="str">
            <v>R</v>
          </cell>
          <cell r="L529" t="str">
            <v>GOOGO</v>
          </cell>
          <cell r="M529" t="str">
            <v>G</v>
          </cell>
          <cell r="N529" t="str">
            <v>O</v>
          </cell>
          <cell r="O529" t="str">
            <v>O</v>
          </cell>
          <cell r="P529" t="str">
            <v>G</v>
          </cell>
          <cell r="Q529" t="str">
            <v>O</v>
          </cell>
          <cell r="R529" t="str">
            <v>-</v>
          </cell>
        </row>
        <row r="530">
          <cell r="A530">
            <v>450826</v>
          </cell>
          <cell r="B530">
            <v>169</v>
          </cell>
          <cell r="C530">
            <v>4045</v>
          </cell>
          <cell r="D530" t="str">
            <v>235/50 R19</v>
          </cell>
          <cell r="E530">
            <v>103</v>
          </cell>
          <cell r="F530" t="str">
            <v>V</v>
          </cell>
          <cell r="G530" t="str">
            <v>SNOW GRABBER PLUS XL</v>
          </cell>
          <cell r="H530">
            <v>450826</v>
          </cell>
          <cell r="I530">
            <v>52369</v>
          </cell>
          <cell r="J530">
            <v>0</v>
          </cell>
          <cell r="K530" t="str">
            <v>P4</v>
          </cell>
          <cell r="L530" t="str">
            <v>YG</v>
          </cell>
          <cell r="M530" t="str">
            <v>Y</v>
          </cell>
          <cell r="N530" t="str">
            <v>G</v>
          </cell>
          <cell r="O530" t="str">
            <v/>
          </cell>
          <cell r="P530" t="str">
            <v/>
          </cell>
          <cell r="Q530" t="str">
            <v/>
          </cell>
          <cell r="R530" t="str">
            <v>-</v>
          </cell>
        </row>
        <row r="531">
          <cell r="A531">
            <v>450880</v>
          </cell>
          <cell r="B531">
            <v>527</v>
          </cell>
          <cell r="C531">
            <v>5079</v>
          </cell>
          <cell r="D531" t="str">
            <v>225/65 R17</v>
          </cell>
          <cell r="E531">
            <v>102</v>
          </cell>
          <cell r="F531" t="str">
            <v>V</v>
          </cell>
          <cell r="G531" t="str">
            <v>GRABBER A/S 365</v>
          </cell>
          <cell r="H531">
            <v>450880</v>
          </cell>
          <cell r="I531">
            <v>52529</v>
          </cell>
          <cell r="J531">
            <v>0</v>
          </cell>
          <cell r="K531" t="str">
            <v>P4</v>
          </cell>
          <cell r="L531" t="str">
            <v>YYYYW</v>
          </cell>
          <cell r="M531" t="str">
            <v>Y</v>
          </cell>
          <cell r="N531" t="str">
            <v>Y</v>
          </cell>
          <cell r="O531" t="str">
            <v>Y</v>
          </cell>
          <cell r="P531" t="str">
            <v>Y</v>
          </cell>
          <cell r="Q531" t="str">
            <v>W</v>
          </cell>
          <cell r="R531" t="str">
            <v>-</v>
          </cell>
        </row>
        <row r="532">
          <cell r="A532">
            <v>450970</v>
          </cell>
          <cell r="B532" t="str">
            <v>-</v>
          </cell>
          <cell r="C532">
            <v>5000</v>
          </cell>
          <cell r="D532" t="str">
            <v>235/60 R18</v>
          </cell>
          <cell r="E532">
            <v>107</v>
          </cell>
          <cell r="F532" t="str">
            <v>V</v>
          </cell>
          <cell r="G532" t="str">
            <v>SNOW GRABBER XL</v>
          </cell>
          <cell r="H532">
            <v>450970</v>
          </cell>
          <cell r="I532">
            <v>52210</v>
          </cell>
          <cell r="J532">
            <v>0</v>
          </cell>
          <cell r="K532" t="str">
            <v>P4</v>
          </cell>
          <cell r="L532" t="str">
            <v>AWA</v>
          </cell>
          <cell r="M532" t="str">
            <v>A</v>
          </cell>
          <cell r="N532" t="str">
            <v>W</v>
          </cell>
          <cell r="O532" t="str">
            <v>A</v>
          </cell>
          <cell r="P532" t="str">
            <v/>
          </cell>
          <cell r="Q532" t="str">
            <v/>
          </cell>
          <cell r="R532" t="str">
            <v>-</v>
          </cell>
        </row>
        <row r="533">
          <cell r="A533">
            <v>1532251</v>
          </cell>
          <cell r="B533">
            <v>249</v>
          </cell>
          <cell r="C533">
            <v>58119</v>
          </cell>
          <cell r="D533" t="str">
            <v>255/35 R19</v>
          </cell>
          <cell r="E533">
            <v>96</v>
          </cell>
          <cell r="F533" t="str">
            <v>Y</v>
          </cell>
          <cell r="G533" t="str">
            <v>SPORT JET 3 XL</v>
          </cell>
          <cell r="H533">
            <v>1532251</v>
          </cell>
          <cell r="I533">
            <v>52249</v>
          </cell>
          <cell r="J533">
            <v>0</v>
          </cell>
          <cell r="K533" t="str">
            <v>P0</v>
          </cell>
          <cell r="L533" t="str">
            <v>AARRY</v>
          </cell>
          <cell r="M533" t="str">
            <v>A</v>
          </cell>
          <cell r="N533" t="str">
            <v>A</v>
          </cell>
          <cell r="O533" t="str">
            <v>R</v>
          </cell>
          <cell r="P533" t="str">
            <v>R</v>
          </cell>
          <cell r="Q533" t="str">
            <v>Y</v>
          </cell>
          <cell r="R533" t="str">
            <v>-</v>
          </cell>
        </row>
        <row r="534">
          <cell r="A534">
            <v>1532253</v>
          </cell>
          <cell r="B534">
            <v>568</v>
          </cell>
          <cell r="C534">
            <v>5086</v>
          </cell>
          <cell r="D534" t="str">
            <v>195/45 R16</v>
          </cell>
          <cell r="E534">
            <v>84</v>
          </cell>
          <cell r="F534" t="str">
            <v>V</v>
          </cell>
          <cell r="G534" t="str">
            <v>SPORT JET 3 XL</v>
          </cell>
          <cell r="H534">
            <v>1532253</v>
          </cell>
          <cell r="I534">
            <v>52568</v>
          </cell>
          <cell r="J534">
            <v>0</v>
          </cell>
          <cell r="K534" t="str">
            <v>P8</v>
          </cell>
          <cell r="L534" t="str">
            <v>YR</v>
          </cell>
          <cell r="M534" t="str">
            <v>Y</v>
          </cell>
          <cell r="N534" t="str">
            <v>R</v>
          </cell>
          <cell r="O534" t="str">
            <v/>
          </cell>
          <cell r="P534" t="str">
            <v/>
          </cell>
          <cell r="Q534" t="str">
            <v/>
          </cell>
          <cell r="R534" t="str">
            <v>-</v>
          </cell>
        </row>
        <row r="535">
          <cell r="A535">
            <v>1532277</v>
          </cell>
          <cell r="B535">
            <v>734</v>
          </cell>
          <cell r="C535">
            <v>4028</v>
          </cell>
          <cell r="D535" t="str">
            <v>205/45 R17</v>
          </cell>
          <cell r="E535">
            <v>88</v>
          </cell>
          <cell r="F535" t="str">
            <v>Y</v>
          </cell>
          <cell r="G535" t="str">
            <v>SPORT-JET 5 XL</v>
          </cell>
          <cell r="H535">
            <v>1532277</v>
          </cell>
          <cell r="I535">
            <v>52534</v>
          </cell>
          <cell r="J535">
            <v>0</v>
          </cell>
          <cell r="K535" t="str">
            <v>P4</v>
          </cell>
          <cell r="L535" t="str">
            <v>O</v>
          </cell>
          <cell r="M535" t="str">
            <v>O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>-</v>
          </cell>
        </row>
        <row r="536">
          <cell r="A536">
            <v>1532281</v>
          </cell>
          <cell r="B536" t="str">
            <v>-</v>
          </cell>
          <cell r="C536">
            <v>4091</v>
          </cell>
          <cell r="D536" t="str">
            <v>205/55 R17</v>
          </cell>
          <cell r="E536">
            <v>95</v>
          </cell>
          <cell r="F536" t="str">
            <v>V</v>
          </cell>
          <cell r="G536" t="str">
            <v>SPORT-JET 5 XL</v>
          </cell>
          <cell r="H536">
            <v>1532281</v>
          </cell>
          <cell r="I536">
            <v>52720</v>
          </cell>
          <cell r="J536">
            <v>0</v>
          </cell>
          <cell r="K536" t="str">
            <v>P2</v>
          </cell>
          <cell r="L536" t="str">
            <v>YARGA</v>
          </cell>
          <cell r="M536" t="str">
            <v>Y</v>
          </cell>
          <cell r="N536" t="str">
            <v>A</v>
          </cell>
          <cell r="O536" t="str">
            <v>R</v>
          </cell>
          <cell r="P536" t="str">
            <v>G</v>
          </cell>
          <cell r="Q536" t="str">
            <v>A</v>
          </cell>
          <cell r="R536" t="str">
            <v>-</v>
          </cell>
        </row>
        <row r="537">
          <cell r="A537">
            <v>1532284</v>
          </cell>
          <cell r="B537">
            <v>308</v>
          </cell>
          <cell r="C537">
            <v>36</v>
          </cell>
          <cell r="D537" t="str">
            <v>215/40 R17</v>
          </cell>
          <cell r="E537">
            <v>87</v>
          </cell>
          <cell r="F537" t="str">
            <v>Y</v>
          </cell>
          <cell r="G537" t="str">
            <v>SPORT-JET 5 XL</v>
          </cell>
          <cell r="H537">
            <v>1532284</v>
          </cell>
          <cell r="I537">
            <v>52650</v>
          </cell>
          <cell r="J537">
            <v>0</v>
          </cell>
          <cell r="K537" t="str">
            <v>P4</v>
          </cell>
          <cell r="L537" t="str">
            <v>YOGW</v>
          </cell>
          <cell r="M537" t="str">
            <v>Y</v>
          </cell>
          <cell r="N537" t="str">
            <v>O</v>
          </cell>
          <cell r="O537" t="str">
            <v>G</v>
          </cell>
          <cell r="P537" t="str">
            <v>W</v>
          </cell>
          <cell r="Q537" t="str">
            <v/>
          </cell>
          <cell r="R537" t="str">
            <v>-</v>
          </cell>
        </row>
        <row r="538">
          <cell r="A538">
            <v>1532285</v>
          </cell>
          <cell r="B538">
            <v>589</v>
          </cell>
          <cell r="C538">
            <v>6130</v>
          </cell>
          <cell r="D538" t="str">
            <v>215/50 R17</v>
          </cell>
          <cell r="E538">
            <v>95</v>
          </cell>
          <cell r="F538" t="str">
            <v>W</v>
          </cell>
          <cell r="G538" t="str">
            <v>SPORT-JET 5 XL</v>
          </cell>
          <cell r="H538">
            <v>1532285</v>
          </cell>
          <cell r="I538">
            <v>52389</v>
          </cell>
          <cell r="J538">
            <v>0</v>
          </cell>
          <cell r="K538" t="str">
            <v>P4</v>
          </cell>
          <cell r="L538" t="str">
            <v>WRWRR</v>
          </cell>
          <cell r="M538" t="str">
            <v>W</v>
          </cell>
          <cell r="N538" t="str">
            <v>R</v>
          </cell>
          <cell r="O538" t="str">
            <v>W</v>
          </cell>
          <cell r="P538" t="str">
            <v>R</v>
          </cell>
          <cell r="Q538" t="str">
            <v>R</v>
          </cell>
          <cell r="R538" t="str">
            <v>-</v>
          </cell>
        </row>
        <row r="539">
          <cell r="A539">
            <v>1532289</v>
          </cell>
          <cell r="B539" t="str">
            <v>-</v>
          </cell>
          <cell r="C539">
            <v>5196</v>
          </cell>
          <cell r="D539" t="str">
            <v>215/55 R18</v>
          </cell>
          <cell r="E539">
            <v>99</v>
          </cell>
          <cell r="F539" t="str">
            <v>V</v>
          </cell>
          <cell r="G539" t="str">
            <v>SPORT-JET 5 XL</v>
          </cell>
          <cell r="H539">
            <v>1532289</v>
          </cell>
          <cell r="I539">
            <v>52897</v>
          </cell>
          <cell r="J539">
            <v>0</v>
          </cell>
          <cell r="K539" t="str">
            <v>P4</v>
          </cell>
          <cell r="L539" t="str">
            <v>RRGGR</v>
          </cell>
          <cell r="M539" t="str">
            <v>R</v>
          </cell>
          <cell r="N539" t="str">
            <v>R</v>
          </cell>
          <cell r="O539" t="str">
            <v>G</v>
          </cell>
          <cell r="P539" t="str">
            <v>G</v>
          </cell>
          <cell r="Q539" t="str">
            <v>R</v>
          </cell>
          <cell r="R539" t="str">
            <v>-</v>
          </cell>
        </row>
        <row r="540">
          <cell r="A540">
            <v>1532294</v>
          </cell>
          <cell r="B540" t="str">
            <v>-</v>
          </cell>
          <cell r="C540">
            <v>4083</v>
          </cell>
          <cell r="D540" t="str">
            <v>225/45 R17</v>
          </cell>
          <cell r="E540">
            <v>94</v>
          </cell>
          <cell r="F540" t="str">
            <v>Y</v>
          </cell>
          <cell r="G540" t="str">
            <v>SPORT-JET 5 XL</v>
          </cell>
          <cell r="H540">
            <v>1532294</v>
          </cell>
          <cell r="I540">
            <v>52398</v>
          </cell>
          <cell r="J540">
            <v>0</v>
          </cell>
          <cell r="K540" t="str">
            <v>P4</v>
          </cell>
          <cell r="L540" t="str">
            <v>AGAGY</v>
          </cell>
          <cell r="M540" t="str">
            <v>A</v>
          </cell>
          <cell r="N540" t="str">
            <v>G</v>
          </cell>
          <cell r="O540" t="str">
            <v>A</v>
          </cell>
          <cell r="P540" t="str">
            <v>G</v>
          </cell>
          <cell r="Q540" t="str">
            <v>Y</v>
          </cell>
          <cell r="R540" t="str">
            <v>-</v>
          </cell>
        </row>
        <row r="541">
          <cell r="A541">
            <v>1532300</v>
          </cell>
          <cell r="B541">
            <v>190</v>
          </cell>
          <cell r="C541">
            <v>2402</v>
          </cell>
          <cell r="D541" t="str">
            <v>225/55 R18</v>
          </cell>
          <cell r="E541">
            <v>98</v>
          </cell>
          <cell r="F541" t="str">
            <v>V</v>
          </cell>
          <cell r="G541" t="str">
            <v>SPORT-JET 5</v>
          </cell>
          <cell r="H541">
            <v>1532300</v>
          </cell>
          <cell r="I541">
            <v>52198</v>
          </cell>
          <cell r="J541">
            <v>0</v>
          </cell>
          <cell r="K541" t="str">
            <v>P4</v>
          </cell>
          <cell r="L541" t="str">
            <v>WAW</v>
          </cell>
          <cell r="M541" t="str">
            <v>W</v>
          </cell>
          <cell r="N541" t="str">
            <v>A</v>
          </cell>
          <cell r="O541" t="str">
            <v>W</v>
          </cell>
          <cell r="P541" t="str">
            <v/>
          </cell>
          <cell r="Q541" t="str">
            <v/>
          </cell>
          <cell r="R541" t="str">
            <v>-</v>
          </cell>
        </row>
        <row r="542">
          <cell r="A542">
            <v>1532304</v>
          </cell>
          <cell r="B542">
            <v>742</v>
          </cell>
          <cell r="C542">
            <v>6041</v>
          </cell>
          <cell r="D542" t="str">
            <v>235/45 R19</v>
          </cell>
          <cell r="E542">
            <v>99</v>
          </cell>
          <cell r="F542" t="str">
            <v>W</v>
          </cell>
          <cell r="G542" t="str">
            <v>SPORT-JET 5 XL</v>
          </cell>
          <cell r="H542">
            <v>1532304</v>
          </cell>
          <cell r="I542">
            <v>52751</v>
          </cell>
          <cell r="J542">
            <v>0</v>
          </cell>
          <cell r="K542" t="str">
            <v>P4</v>
          </cell>
          <cell r="L542" t="str">
            <v>WYOY</v>
          </cell>
          <cell r="M542" t="str">
            <v>W</v>
          </cell>
          <cell r="N542" t="str">
            <v>Y</v>
          </cell>
          <cell r="O542" t="str">
            <v>O</v>
          </cell>
          <cell r="P542" t="str">
            <v>Y</v>
          </cell>
          <cell r="Q542" t="str">
            <v/>
          </cell>
          <cell r="R542" t="str">
            <v>-</v>
          </cell>
        </row>
        <row r="543">
          <cell r="A543">
            <v>1532305</v>
          </cell>
          <cell r="B543" t="str">
            <v>-</v>
          </cell>
          <cell r="C543">
            <v>2435</v>
          </cell>
          <cell r="D543" t="str">
            <v>235/50 R18</v>
          </cell>
          <cell r="E543">
            <v>97</v>
          </cell>
          <cell r="F543" t="str">
            <v>V</v>
          </cell>
          <cell r="G543" t="str">
            <v>SPORT-JET 5</v>
          </cell>
          <cell r="H543">
            <v>1532305</v>
          </cell>
          <cell r="I543">
            <v>52300</v>
          </cell>
          <cell r="J543">
            <v>0</v>
          </cell>
          <cell r="K543" t="str">
            <v>P4</v>
          </cell>
          <cell r="L543" t="str">
            <v>YYYYO</v>
          </cell>
          <cell r="M543" t="str">
            <v>Y</v>
          </cell>
          <cell r="N543" t="str">
            <v>Y</v>
          </cell>
          <cell r="O543" t="str">
            <v>Y</v>
          </cell>
          <cell r="P543" t="str">
            <v>Y</v>
          </cell>
          <cell r="Q543" t="str">
            <v>O</v>
          </cell>
          <cell r="R543" t="str">
            <v>-</v>
          </cell>
        </row>
        <row r="544">
          <cell r="A544">
            <v>1532325</v>
          </cell>
          <cell r="B544">
            <v>886</v>
          </cell>
          <cell r="C544">
            <v>5165</v>
          </cell>
          <cell r="D544" t="str">
            <v>215/50 R17</v>
          </cell>
          <cell r="E544">
            <v>95</v>
          </cell>
          <cell r="F544" t="str">
            <v>Y</v>
          </cell>
          <cell r="G544" t="str">
            <v>SPORT-JET 5 XL</v>
          </cell>
          <cell r="H544">
            <v>1532325</v>
          </cell>
          <cell r="I544">
            <v>52786</v>
          </cell>
          <cell r="J544">
            <v>0</v>
          </cell>
          <cell r="K544" t="str">
            <v>P4</v>
          </cell>
          <cell r="L544" t="str">
            <v>AGAO</v>
          </cell>
          <cell r="M544" t="str">
            <v>A</v>
          </cell>
          <cell r="N544" t="str">
            <v>G</v>
          </cell>
          <cell r="O544" t="str">
            <v>A</v>
          </cell>
          <cell r="P544" t="str">
            <v>O</v>
          </cell>
          <cell r="Q544" t="str">
            <v/>
          </cell>
          <cell r="R544" t="str">
            <v>-</v>
          </cell>
        </row>
        <row r="545">
          <cell r="A545">
            <v>1532328</v>
          </cell>
          <cell r="B545" t="str">
            <v>-</v>
          </cell>
          <cell r="C545">
            <v>4183</v>
          </cell>
          <cell r="D545" t="str">
            <v>225/45 R17</v>
          </cell>
          <cell r="E545">
            <v>91</v>
          </cell>
          <cell r="F545" t="str">
            <v>Y</v>
          </cell>
          <cell r="G545" t="str">
            <v>SPORT-JET 5</v>
          </cell>
          <cell r="H545">
            <v>1532328</v>
          </cell>
          <cell r="I545">
            <v>52063</v>
          </cell>
          <cell r="J545">
            <v>0</v>
          </cell>
          <cell r="K545" t="str">
            <v>P4</v>
          </cell>
          <cell r="L545" t="str">
            <v>YYRYY</v>
          </cell>
          <cell r="M545" t="str">
            <v>Y</v>
          </cell>
          <cell r="N545" t="str">
            <v>Y</v>
          </cell>
          <cell r="O545" t="str">
            <v>R</v>
          </cell>
          <cell r="P545" t="str">
            <v>Y</v>
          </cell>
          <cell r="Q545" t="str">
            <v>Y</v>
          </cell>
          <cell r="R545" t="str">
            <v>-</v>
          </cell>
        </row>
        <row r="546">
          <cell r="A546">
            <v>1532330</v>
          </cell>
          <cell r="B546" t="str">
            <v>-</v>
          </cell>
          <cell r="C546">
            <v>4207</v>
          </cell>
          <cell r="D546" t="str">
            <v>205/45 R16</v>
          </cell>
          <cell r="E546">
            <v>83</v>
          </cell>
          <cell r="F546" t="str">
            <v>Y</v>
          </cell>
          <cell r="G546" t="str">
            <v>SPORT-JET 5</v>
          </cell>
          <cell r="H546">
            <v>1532330</v>
          </cell>
          <cell r="I546">
            <v>52184</v>
          </cell>
          <cell r="J546">
            <v>0</v>
          </cell>
          <cell r="K546" t="str">
            <v>P4</v>
          </cell>
          <cell r="L546" t="str">
            <v>GORY</v>
          </cell>
          <cell r="M546" t="str">
            <v>G</v>
          </cell>
          <cell r="N546" t="str">
            <v>O</v>
          </cell>
          <cell r="O546" t="str">
            <v>R</v>
          </cell>
          <cell r="P546" t="str">
            <v>Y</v>
          </cell>
          <cell r="Q546" t="str">
            <v/>
          </cell>
          <cell r="R546" t="str">
            <v>-</v>
          </cell>
        </row>
        <row r="547">
          <cell r="A547">
            <v>1532340</v>
          </cell>
          <cell r="B547" t="str">
            <v>-</v>
          </cell>
          <cell r="C547">
            <v>2033</v>
          </cell>
          <cell r="D547" t="str">
            <v>215/45 R17</v>
          </cell>
          <cell r="E547">
            <v>91</v>
          </cell>
          <cell r="F547" t="str">
            <v>Y</v>
          </cell>
          <cell r="G547" t="str">
            <v>SPORT JET 3 XL</v>
          </cell>
          <cell r="H547">
            <v>1532340</v>
          </cell>
          <cell r="I547">
            <v>52004</v>
          </cell>
          <cell r="J547">
            <v>0</v>
          </cell>
          <cell r="K547" t="str">
            <v>P4</v>
          </cell>
          <cell r="L547" t="str">
            <v>GAGGY</v>
          </cell>
          <cell r="M547" t="str">
            <v>G</v>
          </cell>
          <cell r="N547" t="str">
            <v>A</v>
          </cell>
          <cell r="O547" t="str">
            <v>G</v>
          </cell>
          <cell r="P547" t="str">
            <v>G</v>
          </cell>
          <cell r="Q547" t="str">
            <v>Y</v>
          </cell>
          <cell r="R547" t="str">
            <v>-</v>
          </cell>
        </row>
        <row r="548">
          <cell r="A548">
            <v>1532342</v>
          </cell>
          <cell r="B548" t="str">
            <v>-</v>
          </cell>
          <cell r="C548">
            <v>101</v>
          </cell>
          <cell r="D548" t="str">
            <v>195/50 R16</v>
          </cell>
          <cell r="E548">
            <v>88</v>
          </cell>
          <cell r="F548" t="str">
            <v>V</v>
          </cell>
          <cell r="G548" t="str">
            <v>SPORT JET 3 XL</v>
          </cell>
          <cell r="H548">
            <v>1532342</v>
          </cell>
          <cell r="I548">
            <v>52629</v>
          </cell>
          <cell r="J548">
            <v>0</v>
          </cell>
          <cell r="K548" t="str">
            <v>P8</v>
          </cell>
          <cell r="L548" t="str">
            <v>YYRG</v>
          </cell>
          <cell r="M548" t="str">
            <v>Y</v>
          </cell>
          <cell r="N548" t="str">
            <v>Y</v>
          </cell>
          <cell r="O548" t="str">
            <v>R</v>
          </cell>
          <cell r="P548" t="str">
            <v>G</v>
          </cell>
          <cell r="Q548" t="str">
            <v/>
          </cell>
          <cell r="R548" t="str">
            <v>-</v>
          </cell>
        </row>
        <row r="549">
          <cell r="A549">
            <v>1532346</v>
          </cell>
          <cell r="B549" t="str">
            <v>-</v>
          </cell>
          <cell r="C549">
            <v>4007</v>
          </cell>
          <cell r="D549" t="str">
            <v>205/45 R16</v>
          </cell>
          <cell r="E549">
            <v>83</v>
          </cell>
          <cell r="F549" t="str">
            <v>Y</v>
          </cell>
          <cell r="G549" t="str">
            <v>SPORT-JET 5</v>
          </cell>
          <cell r="H549">
            <v>1532346</v>
          </cell>
          <cell r="I549">
            <v>52620</v>
          </cell>
          <cell r="J549">
            <v>0</v>
          </cell>
          <cell r="K549" t="str">
            <v>P4</v>
          </cell>
          <cell r="L549" t="str">
            <v>AORW</v>
          </cell>
          <cell r="M549" t="str">
            <v>A</v>
          </cell>
          <cell r="N549" t="str">
            <v>O</v>
          </cell>
          <cell r="O549" t="str">
            <v>R</v>
          </cell>
          <cell r="P549" t="str">
            <v>W</v>
          </cell>
          <cell r="Q549" t="str">
            <v/>
          </cell>
          <cell r="R549" t="str">
            <v>-</v>
          </cell>
        </row>
        <row r="550">
          <cell r="A550">
            <v>1540671</v>
          </cell>
          <cell r="B550">
            <v>364</v>
          </cell>
          <cell r="C550">
            <v>3091</v>
          </cell>
          <cell r="D550" t="str">
            <v>165/65 R15</v>
          </cell>
          <cell r="E550">
            <v>81</v>
          </cell>
          <cell r="F550" t="str">
            <v>T</v>
          </cell>
          <cell r="G550" t="str">
            <v>QUARTARIS 5</v>
          </cell>
          <cell r="H550">
            <v>1540671</v>
          </cell>
          <cell r="I550">
            <v>52367</v>
          </cell>
          <cell r="J550">
            <v>0</v>
          </cell>
          <cell r="K550" t="str">
            <v>P8</v>
          </cell>
          <cell r="L550" t="str">
            <v>AOY</v>
          </cell>
          <cell r="M550" t="str">
            <v>A</v>
          </cell>
          <cell r="N550" t="str">
            <v>O</v>
          </cell>
          <cell r="O550" t="str">
            <v>Y</v>
          </cell>
          <cell r="P550" t="str">
            <v/>
          </cell>
          <cell r="Q550" t="str">
            <v/>
          </cell>
          <cell r="R550" t="str">
            <v>-</v>
          </cell>
        </row>
        <row r="551">
          <cell r="A551">
            <v>1540678</v>
          </cell>
          <cell r="B551">
            <v>528</v>
          </cell>
          <cell r="C551">
            <v>3075</v>
          </cell>
          <cell r="D551" t="str">
            <v>185/60 R15</v>
          </cell>
          <cell r="E551">
            <v>88</v>
          </cell>
          <cell r="F551" t="str">
            <v>H</v>
          </cell>
          <cell r="G551" t="str">
            <v>QUARTARIS 5 XL</v>
          </cell>
          <cell r="H551">
            <v>1540678</v>
          </cell>
          <cell r="I551">
            <v>52436</v>
          </cell>
          <cell r="J551">
            <v>0</v>
          </cell>
          <cell r="K551" t="str">
            <v>P4</v>
          </cell>
          <cell r="L551" t="str">
            <v>GOR</v>
          </cell>
          <cell r="M551" t="str">
            <v>G</v>
          </cell>
          <cell r="N551" t="str">
            <v>O</v>
          </cell>
          <cell r="O551" t="str">
            <v>R</v>
          </cell>
          <cell r="P551" t="str">
            <v/>
          </cell>
          <cell r="Q551" t="str">
            <v/>
          </cell>
          <cell r="R551" t="str">
            <v>-</v>
          </cell>
        </row>
        <row r="552">
          <cell r="A552">
            <v>1540689</v>
          </cell>
          <cell r="B552">
            <v>981</v>
          </cell>
          <cell r="C552">
            <v>5279</v>
          </cell>
          <cell r="D552" t="str">
            <v>225/65 R17</v>
          </cell>
          <cell r="E552">
            <v>106</v>
          </cell>
          <cell r="F552" t="str">
            <v>V</v>
          </cell>
          <cell r="G552" t="str">
            <v>QUARTARIS 5 XL</v>
          </cell>
          <cell r="H552">
            <v>1540689</v>
          </cell>
          <cell r="I552">
            <v>52881</v>
          </cell>
          <cell r="J552">
            <v>0</v>
          </cell>
          <cell r="K552" t="str">
            <v>P4</v>
          </cell>
          <cell r="L552" t="str">
            <v>AAGOO</v>
          </cell>
          <cell r="M552" t="str">
            <v>A</v>
          </cell>
          <cell r="N552" t="str">
            <v>A</v>
          </cell>
          <cell r="O552" t="str">
            <v>G</v>
          </cell>
          <cell r="P552" t="str">
            <v>O</v>
          </cell>
          <cell r="Q552" t="str">
            <v>O</v>
          </cell>
          <cell r="R552" t="str">
            <v>-</v>
          </cell>
        </row>
        <row r="553">
          <cell r="A553">
            <v>1540698</v>
          </cell>
          <cell r="B553">
            <v>572</v>
          </cell>
          <cell r="C553">
            <v>5091</v>
          </cell>
          <cell r="D553" t="str">
            <v>155/60 R15</v>
          </cell>
          <cell r="E553">
            <v>74</v>
          </cell>
          <cell r="F553" t="str">
            <v>T</v>
          </cell>
          <cell r="G553" t="str">
            <v>BRAVURIS 5HM</v>
          </cell>
          <cell r="H553">
            <v>1540698</v>
          </cell>
          <cell r="I553">
            <v>52572</v>
          </cell>
          <cell r="J553">
            <v>0</v>
          </cell>
          <cell r="K553" t="str">
            <v>P8</v>
          </cell>
          <cell r="L553" t="str">
            <v>YRYR</v>
          </cell>
          <cell r="M553" t="str">
            <v>Y</v>
          </cell>
          <cell r="N553" t="str">
            <v>R</v>
          </cell>
          <cell r="O553" t="str">
            <v>Y</v>
          </cell>
          <cell r="P553" t="str">
            <v>R</v>
          </cell>
          <cell r="Q553" t="str">
            <v/>
          </cell>
          <cell r="R553" t="str">
            <v>-</v>
          </cell>
        </row>
        <row r="554">
          <cell r="A554">
            <v>1540705</v>
          </cell>
          <cell r="B554">
            <v>70</v>
          </cell>
          <cell r="C554">
            <v>5186</v>
          </cell>
          <cell r="D554" t="str">
            <v>195/45 R16</v>
          </cell>
          <cell r="E554">
            <v>84</v>
          </cell>
          <cell r="F554" t="str">
            <v>V</v>
          </cell>
          <cell r="G554" t="str">
            <v>BRAVURIS 5HM XL</v>
          </cell>
          <cell r="H554">
            <v>1540705</v>
          </cell>
          <cell r="I554">
            <v>52070</v>
          </cell>
          <cell r="J554">
            <v>0</v>
          </cell>
          <cell r="K554" t="str">
            <v>P8</v>
          </cell>
          <cell r="L554" t="str">
            <v>AAGGY</v>
          </cell>
          <cell r="M554" t="str">
            <v>A</v>
          </cell>
          <cell r="N554" t="str">
            <v>A</v>
          </cell>
          <cell r="O554" t="str">
            <v>G</v>
          </cell>
          <cell r="P554" t="str">
            <v>G</v>
          </cell>
          <cell r="Q554" t="str">
            <v>Y</v>
          </cell>
          <cell r="R554" t="str">
            <v>-</v>
          </cell>
        </row>
        <row r="555">
          <cell r="A555">
            <v>1540729</v>
          </cell>
          <cell r="B555">
            <v>552</v>
          </cell>
          <cell r="C555">
            <v>5237</v>
          </cell>
          <cell r="D555" t="str">
            <v>215/45 R16</v>
          </cell>
          <cell r="E555">
            <v>90</v>
          </cell>
          <cell r="F555" t="str">
            <v>V</v>
          </cell>
          <cell r="G555" t="str">
            <v>BRAVURIS 5HM XL</v>
          </cell>
          <cell r="H555">
            <v>1540729</v>
          </cell>
          <cell r="I555">
            <v>52551</v>
          </cell>
          <cell r="J555">
            <v>0</v>
          </cell>
          <cell r="K555" t="str">
            <v>P4</v>
          </cell>
          <cell r="L555" t="str">
            <v>WYYRR</v>
          </cell>
          <cell r="M555" t="str">
            <v>W</v>
          </cell>
          <cell r="N555" t="str">
            <v>Y</v>
          </cell>
          <cell r="O555" t="str">
            <v>Y</v>
          </cell>
          <cell r="P555" t="str">
            <v>R</v>
          </cell>
          <cell r="Q555" t="str">
            <v>R</v>
          </cell>
          <cell r="R555" t="str">
            <v>-</v>
          </cell>
        </row>
        <row r="556">
          <cell r="A556">
            <v>1540730</v>
          </cell>
          <cell r="B556" t="str">
            <v>-</v>
          </cell>
          <cell r="C556">
            <v>5137</v>
          </cell>
          <cell r="D556" t="str">
            <v>215/45 R17</v>
          </cell>
          <cell r="E556">
            <v>91</v>
          </cell>
          <cell r="F556" t="str">
            <v>Y</v>
          </cell>
          <cell r="G556" t="str">
            <v>BRAVURIS 5HM XL</v>
          </cell>
          <cell r="H556">
            <v>1540730</v>
          </cell>
          <cell r="I556">
            <v>52407</v>
          </cell>
          <cell r="J556">
            <v>0</v>
          </cell>
          <cell r="K556" t="str">
            <v>P4</v>
          </cell>
          <cell r="L556" t="str">
            <v>GGGAA</v>
          </cell>
          <cell r="M556" t="str">
            <v>G</v>
          </cell>
          <cell r="N556" t="str">
            <v>G</v>
          </cell>
          <cell r="O556" t="str">
            <v>G</v>
          </cell>
          <cell r="P556" t="str">
            <v>A</v>
          </cell>
          <cell r="Q556" t="str">
            <v>A</v>
          </cell>
          <cell r="R556" t="str">
            <v>-</v>
          </cell>
        </row>
        <row r="557">
          <cell r="A557">
            <v>1540731</v>
          </cell>
          <cell r="B557">
            <v>886</v>
          </cell>
          <cell r="C557">
            <v>5165</v>
          </cell>
          <cell r="D557" t="str">
            <v>215/50 R17</v>
          </cell>
          <cell r="E557">
            <v>95</v>
          </cell>
          <cell r="F557" t="str">
            <v>Y</v>
          </cell>
          <cell r="G557" t="str">
            <v>BRAVURIS 5HM XL</v>
          </cell>
          <cell r="H557">
            <v>1540731</v>
          </cell>
          <cell r="I557">
            <v>52786</v>
          </cell>
          <cell r="J557">
            <v>0</v>
          </cell>
          <cell r="K557" t="str">
            <v>P4</v>
          </cell>
          <cell r="L557" t="str">
            <v>AGAO</v>
          </cell>
          <cell r="M557" t="str">
            <v>A</v>
          </cell>
          <cell r="N557" t="str">
            <v>G</v>
          </cell>
          <cell r="O557" t="str">
            <v>A</v>
          </cell>
          <cell r="P557" t="str">
            <v>O</v>
          </cell>
          <cell r="Q557" t="str">
            <v/>
          </cell>
          <cell r="R557" t="str">
            <v>-</v>
          </cell>
        </row>
        <row r="558">
          <cell r="A558">
            <v>1540738</v>
          </cell>
          <cell r="B558">
            <v>834</v>
          </cell>
          <cell r="C558">
            <v>4139</v>
          </cell>
          <cell r="D558" t="str">
            <v>215/60 R17</v>
          </cell>
          <cell r="E558">
            <v>96</v>
          </cell>
          <cell r="F558" t="str">
            <v>V</v>
          </cell>
          <cell r="G558" t="str">
            <v>BRAVURIS 5HM</v>
          </cell>
          <cell r="H558">
            <v>1540738</v>
          </cell>
          <cell r="I558">
            <v>52634</v>
          </cell>
          <cell r="J558">
            <v>0</v>
          </cell>
          <cell r="K558" t="str">
            <v>P4</v>
          </cell>
          <cell r="L558" t="str">
            <v>RRYGG</v>
          </cell>
          <cell r="M558" t="str">
            <v>R</v>
          </cell>
          <cell r="N558" t="str">
            <v>R</v>
          </cell>
          <cell r="O558" t="str">
            <v>Y</v>
          </cell>
          <cell r="P558" t="str">
            <v>G</v>
          </cell>
          <cell r="Q558" t="str">
            <v>G</v>
          </cell>
          <cell r="R558" t="str">
            <v>-</v>
          </cell>
        </row>
        <row r="559">
          <cell r="A559">
            <v>1540749</v>
          </cell>
          <cell r="B559">
            <v>854</v>
          </cell>
          <cell r="C559">
            <v>2002</v>
          </cell>
          <cell r="D559" t="str">
            <v>225/55 R18</v>
          </cell>
          <cell r="E559">
            <v>98</v>
          </cell>
          <cell r="F559" t="str">
            <v>V</v>
          </cell>
          <cell r="G559" t="str">
            <v>BRAVURIS 5HM</v>
          </cell>
          <cell r="H559">
            <v>1540749</v>
          </cell>
          <cell r="I559">
            <v>52054</v>
          </cell>
          <cell r="J559">
            <v>0</v>
          </cell>
          <cell r="K559" t="str">
            <v>P4</v>
          </cell>
          <cell r="L559" t="str">
            <v>WOG</v>
          </cell>
          <cell r="M559" t="str">
            <v>W</v>
          </cell>
          <cell r="N559" t="str">
            <v>O</v>
          </cell>
          <cell r="O559" t="str">
            <v>G</v>
          </cell>
          <cell r="P559" t="str">
            <v/>
          </cell>
          <cell r="Q559" t="str">
            <v/>
          </cell>
          <cell r="R559" t="str">
            <v>-</v>
          </cell>
        </row>
        <row r="560">
          <cell r="A560">
            <v>1540752</v>
          </cell>
          <cell r="B560">
            <v>564</v>
          </cell>
          <cell r="C560">
            <v>58054</v>
          </cell>
          <cell r="D560" t="str">
            <v>235/40 R18</v>
          </cell>
          <cell r="E560">
            <v>95</v>
          </cell>
          <cell r="F560" t="str">
            <v>Y</v>
          </cell>
          <cell r="G560" t="str">
            <v>BRAVURIS 5HM XL</v>
          </cell>
          <cell r="H560">
            <v>1540752</v>
          </cell>
          <cell r="I560">
            <v>52562</v>
          </cell>
          <cell r="J560">
            <v>0</v>
          </cell>
          <cell r="K560" t="str">
            <v>P4</v>
          </cell>
          <cell r="L560" t="str">
            <v>YYYR</v>
          </cell>
          <cell r="M560" t="str">
            <v>Y</v>
          </cell>
          <cell r="N560" t="str">
            <v>Y</v>
          </cell>
          <cell r="O560" t="str">
            <v>Y</v>
          </cell>
          <cell r="P560" t="str">
            <v>R</v>
          </cell>
          <cell r="Q560" t="str">
            <v/>
          </cell>
          <cell r="R560" t="str">
            <v>-</v>
          </cell>
        </row>
        <row r="561">
          <cell r="A561">
            <v>1540783</v>
          </cell>
          <cell r="B561">
            <v>409</v>
          </cell>
          <cell r="C561">
            <v>6026</v>
          </cell>
          <cell r="D561" t="str">
            <v>205/50 R17</v>
          </cell>
          <cell r="E561">
            <v>93</v>
          </cell>
          <cell r="F561" t="str">
            <v>W</v>
          </cell>
          <cell r="G561" t="str">
            <v>QUARTARIS 5 XL</v>
          </cell>
          <cell r="H561">
            <v>1540783</v>
          </cell>
          <cell r="I561">
            <v>52409</v>
          </cell>
          <cell r="J561">
            <v>0</v>
          </cell>
          <cell r="K561" t="str">
            <v>P4</v>
          </cell>
          <cell r="L561" t="str">
            <v>AGOGO</v>
          </cell>
          <cell r="M561" t="str">
            <v>A</v>
          </cell>
          <cell r="N561" t="str">
            <v>G</v>
          </cell>
          <cell r="O561" t="str">
            <v>O</v>
          </cell>
          <cell r="P561" t="str">
            <v>G</v>
          </cell>
          <cell r="Q561" t="str">
            <v>O</v>
          </cell>
          <cell r="R561" t="str">
            <v>-</v>
          </cell>
        </row>
        <row r="562">
          <cell r="A562">
            <v>1540784</v>
          </cell>
          <cell r="B562">
            <v>744</v>
          </cell>
          <cell r="C562">
            <v>58047</v>
          </cell>
          <cell r="D562" t="str">
            <v>225/40 R18</v>
          </cell>
          <cell r="E562">
            <v>92</v>
          </cell>
          <cell r="F562" t="str">
            <v>V</v>
          </cell>
          <cell r="G562" t="str">
            <v>QUARTARIS 5 XL</v>
          </cell>
          <cell r="H562">
            <v>1540784</v>
          </cell>
          <cell r="I562">
            <v>52741</v>
          </cell>
          <cell r="J562">
            <v>0</v>
          </cell>
          <cell r="K562" t="str">
            <v>P4</v>
          </cell>
          <cell r="L562" t="str">
            <v>YYYGG</v>
          </cell>
          <cell r="M562" t="str">
            <v>Y</v>
          </cell>
          <cell r="N562" t="str">
            <v>Y</v>
          </cell>
          <cell r="O562" t="str">
            <v>Y</v>
          </cell>
          <cell r="P562" t="str">
            <v>G</v>
          </cell>
          <cell r="Q562" t="str">
            <v>G</v>
          </cell>
          <cell r="R562" t="str">
            <v>-</v>
          </cell>
        </row>
        <row r="563">
          <cell r="A563">
            <v>1540785</v>
          </cell>
          <cell r="B563">
            <v>183</v>
          </cell>
          <cell r="C563">
            <v>3009</v>
          </cell>
          <cell r="D563" t="str">
            <v>205/55 R17</v>
          </cell>
          <cell r="E563">
            <v>95</v>
          </cell>
          <cell r="F563" t="str">
            <v>V</v>
          </cell>
          <cell r="G563" t="str">
            <v>QUARTARIS 5 XL</v>
          </cell>
          <cell r="H563">
            <v>1540785</v>
          </cell>
          <cell r="I563">
            <v>52183</v>
          </cell>
          <cell r="J563">
            <v>0</v>
          </cell>
          <cell r="K563" t="str">
            <v>P4</v>
          </cell>
          <cell r="L563" t="str">
            <v>AAARW</v>
          </cell>
          <cell r="M563" t="str">
            <v>A</v>
          </cell>
          <cell r="N563" t="str">
            <v>A</v>
          </cell>
          <cell r="O563" t="str">
            <v>A</v>
          </cell>
          <cell r="P563" t="str">
            <v>R</v>
          </cell>
          <cell r="Q563" t="str">
            <v>W</v>
          </cell>
          <cell r="R563" t="str">
            <v>-</v>
          </cell>
        </row>
        <row r="564">
          <cell r="A564">
            <v>1540799</v>
          </cell>
          <cell r="B564">
            <v>518</v>
          </cell>
          <cell r="C564">
            <v>3020</v>
          </cell>
          <cell r="D564" t="str">
            <v>165/60 R15</v>
          </cell>
          <cell r="E564">
            <v>77</v>
          </cell>
          <cell r="F564" t="str">
            <v>H</v>
          </cell>
          <cell r="G564" t="str">
            <v>BRAVURIS 5HM</v>
          </cell>
          <cell r="H564">
            <v>1540799</v>
          </cell>
          <cell r="I564">
            <v>52770</v>
          </cell>
          <cell r="J564">
            <v>0</v>
          </cell>
          <cell r="K564" t="str">
            <v>P8</v>
          </cell>
          <cell r="L564" t="str">
            <v>WWRR</v>
          </cell>
          <cell r="M564" t="str">
            <v>W</v>
          </cell>
          <cell r="N564" t="str">
            <v>W</v>
          </cell>
          <cell r="O564" t="str">
            <v>R</v>
          </cell>
          <cell r="P564" t="str">
            <v>R</v>
          </cell>
          <cell r="Q564" t="str">
            <v/>
          </cell>
          <cell r="R564" t="str">
            <v>-</v>
          </cell>
        </row>
        <row r="565">
          <cell r="A565">
            <v>1540802</v>
          </cell>
          <cell r="B565">
            <v>84</v>
          </cell>
          <cell r="C565">
            <v>5097</v>
          </cell>
          <cell r="D565" t="str">
            <v>195/50 R16</v>
          </cell>
          <cell r="E565">
            <v>88</v>
          </cell>
          <cell r="F565" t="str">
            <v>V</v>
          </cell>
          <cell r="G565" t="str">
            <v>BRAVURIS 5HM XL</v>
          </cell>
          <cell r="H565">
            <v>1540802</v>
          </cell>
          <cell r="I565">
            <v>52084</v>
          </cell>
          <cell r="J565">
            <v>0</v>
          </cell>
          <cell r="K565" t="str">
            <v>P8</v>
          </cell>
          <cell r="L565" t="str">
            <v>AWWY</v>
          </cell>
          <cell r="M565" t="str">
            <v>A</v>
          </cell>
          <cell r="N565" t="str">
            <v>W</v>
          </cell>
          <cell r="O565" t="str">
            <v>W</v>
          </cell>
          <cell r="P565" t="str">
            <v>Y</v>
          </cell>
          <cell r="Q565" t="str">
            <v/>
          </cell>
          <cell r="R565" t="str">
            <v>-</v>
          </cell>
        </row>
        <row r="566">
          <cell r="A566">
            <v>1540803</v>
          </cell>
          <cell r="B566">
            <v>762</v>
          </cell>
          <cell r="C566">
            <v>2048</v>
          </cell>
          <cell r="D566" t="str">
            <v>195/60 R16</v>
          </cell>
          <cell r="E566">
            <v>89</v>
          </cell>
          <cell r="F566" t="str">
            <v>V</v>
          </cell>
          <cell r="G566" t="str">
            <v>BRAVURIS 5HM</v>
          </cell>
          <cell r="H566">
            <v>1540803</v>
          </cell>
          <cell r="I566">
            <v>52761</v>
          </cell>
          <cell r="J566">
            <v>0</v>
          </cell>
          <cell r="K566" t="str">
            <v>P4</v>
          </cell>
          <cell r="L566" t="str">
            <v>AA</v>
          </cell>
          <cell r="M566" t="str">
            <v>A</v>
          </cell>
          <cell r="N566" t="str">
            <v>A</v>
          </cell>
          <cell r="O566" t="str">
            <v/>
          </cell>
          <cell r="P566" t="str">
            <v/>
          </cell>
          <cell r="Q566" t="str">
            <v/>
          </cell>
          <cell r="R566" t="str">
            <v>-</v>
          </cell>
        </row>
        <row r="567">
          <cell r="A567">
            <v>1540804</v>
          </cell>
          <cell r="B567">
            <v>887</v>
          </cell>
          <cell r="C567">
            <v>2140</v>
          </cell>
          <cell r="D567" t="str">
            <v>205/40 R17</v>
          </cell>
          <cell r="E567">
            <v>84</v>
          </cell>
          <cell r="F567" t="str">
            <v>W</v>
          </cell>
          <cell r="G567" t="str">
            <v>BRAVURIS 5HM XL</v>
          </cell>
          <cell r="H567">
            <v>1540804</v>
          </cell>
          <cell r="I567">
            <v>52187</v>
          </cell>
          <cell r="J567">
            <v>0</v>
          </cell>
          <cell r="K567" t="str">
            <v>P4</v>
          </cell>
          <cell r="L567" t="str">
            <v>AARGY</v>
          </cell>
          <cell r="M567" t="str">
            <v>A</v>
          </cell>
          <cell r="N567" t="str">
            <v>A</v>
          </cell>
          <cell r="O567" t="str">
            <v>R</v>
          </cell>
          <cell r="P567" t="str">
            <v>G</v>
          </cell>
          <cell r="Q567" t="str">
            <v>Y</v>
          </cell>
          <cell r="R567" t="str">
            <v>-</v>
          </cell>
        </row>
        <row r="568">
          <cell r="A568">
            <v>1540805</v>
          </cell>
          <cell r="B568">
            <v>120</v>
          </cell>
          <cell r="C568">
            <v>2040</v>
          </cell>
          <cell r="D568" t="str">
            <v>205/40 R18</v>
          </cell>
          <cell r="E568">
            <v>86</v>
          </cell>
          <cell r="F568" t="str">
            <v>Y</v>
          </cell>
          <cell r="G568" t="str">
            <v>BRAVURIS 5HM</v>
          </cell>
          <cell r="H568">
            <v>1540805</v>
          </cell>
          <cell r="I568">
            <v>52121</v>
          </cell>
          <cell r="J568">
            <v>0</v>
          </cell>
          <cell r="K568" t="str">
            <v>P4</v>
          </cell>
          <cell r="L568" t="str">
            <v>YYYWG</v>
          </cell>
          <cell r="M568" t="str">
            <v>Y</v>
          </cell>
          <cell r="N568" t="str">
            <v>Y</v>
          </cell>
          <cell r="O568" t="str">
            <v>Y</v>
          </cell>
          <cell r="P568" t="str">
            <v>W</v>
          </cell>
          <cell r="Q568" t="str">
            <v>G</v>
          </cell>
          <cell r="R568" t="str">
            <v>-</v>
          </cell>
        </row>
        <row r="569">
          <cell r="A569">
            <v>1540808</v>
          </cell>
          <cell r="B569" t="str">
            <v>-</v>
          </cell>
          <cell r="C569">
            <v>58022</v>
          </cell>
          <cell r="D569" t="str">
            <v>215/40 R17</v>
          </cell>
          <cell r="E569">
            <v>87</v>
          </cell>
          <cell r="F569" t="str">
            <v>Y</v>
          </cell>
          <cell r="G569" t="str">
            <v>BRAVURIS 5HM XL</v>
          </cell>
          <cell r="H569">
            <v>1540808</v>
          </cell>
          <cell r="I569">
            <v>52059</v>
          </cell>
          <cell r="J569">
            <v>0</v>
          </cell>
          <cell r="K569" t="str">
            <v>P0</v>
          </cell>
          <cell r="L569" t="str">
            <v>AAAGW</v>
          </cell>
          <cell r="M569" t="str">
            <v>A</v>
          </cell>
          <cell r="N569" t="str">
            <v>A</v>
          </cell>
          <cell r="O569" t="str">
            <v>A</v>
          </cell>
          <cell r="P569" t="str">
            <v>G</v>
          </cell>
          <cell r="Q569" t="str">
            <v>W</v>
          </cell>
          <cell r="R569" t="str">
            <v>-</v>
          </cell>
        </row>
        <row r="570">
          <cell r="A570">
            <v>1540809</v>
          </cell>
          <cell r="B570" t="str">
            <v>-</v>
          </cell>
          <cell r="C570">
            <v>3013</v>
          </cell>
          <cell r="D570" t="str">
            <v>215/50 R18</v>
          </cell>
          <cell r="E570">
            <v>96</v>
          </cell>
          <cell r="F570" t="str">
            <v>W</v>
          </cell>
          <cell r="G570" t="str">
            <v>BRAVURIS 5HM XL</v>
          </cell>
          <cell r="H570">
            <v>1540809</v>
          </cell>
          <cell r="I570">
            <v>52656</v>
          </cell>
          <cell r="J570">
            <v>0</v>
          </cell>
          <cell r="K570" t="str">
            <v>P0</v>
          </cell>
          <cell r="L570" t="str">
            <v>AOO</v>
          </cell>
          <cell r="M570" t="str">
            <v>A</v>
          </cell>
          <cell r="N570" t="str">
            <v>O</v>
          </cell>
          <cell r="O570" t="str">
            <v>O</v>
          </cell>
          <cell r="P570" t="str">
            <v/>
          </cell>
          <cell r="Q570" t="str">
            <v/>
          </cell>
          <cell r="R570" t="str">
            <v>-</v>
          </cell>
        </row>
        <row r="571">
          <cell r="A571">
            <v>1540820</v>
          </cell>
          <cell r="B571" t="str">
            <v>-</v>
          </cell>
          <cell r="C571">
            <v>6091</v>
          </cell>
          <cell r="D571" t="str">
            <v>225/60 R17</v>
          </cell>
          <cell r="E571">
            <v>99</v>
          </cell>
          <cell r="F571" t="str">
            <v>V</v>
          </cell>
          <cell r="G571" t="str">
            <v>BRAVURIS 5HM</v>
          </cell>
          <cell r="H571">
            <v>1540820</v>
          </cell>
          <cell r="I571">
            <v>52208</v>
          </cell>
          <cell r="J571">
            <v>0</v>
          </cell>
          <cell r="K571" t="str">
            <v>P4</v>
          </cell>
          <cell r="L571" t="str">
            <v>ARWAR</v>
          </cell>
          <cell r="M571" t="str">
            <v>A</v>
          </cell>
          <cell r="N571" t="str">
            <v>R</v>
          </cell>
          <cell r="O571" t="str">
            <v>W</v>
          </cell>
          <cell r="P571" t="str">
            <v>A</v>
          </cell>
          <cell r="Q571" t="str">
            <v>R</v>
          </cell>
          <cell r="R571" t="str">
            <v>-</v>
          </cell>
        </row>
        <row r="572">
          <cell r="A572">
            <v>1540821</v>
          </cell>
          <cell r="B572" t="str">
            <v>-</v>
          </cell>
          <cell r="C572">
            <v>6078</v>
          </cell>
          <cell r="D572" t="str">
            <v>225/60 R18</v>
          </cell>
          <cell r="E572">
            <v>100</v>
          </cell>
          <cell r="F572" t="str">
            <v>V</v>
          </cell>
          <cell r="G572" t="str">
            <v>BRAVURIS 5HM</v>
          </cell>
          <cell r="H572">
            <v>1540821</v>
          </cell>
          <cell r="I572">
            <v>52052</v>
          </cell>
          <cell r="J572">
            <v>0</v>
          </cell>
          <cell r="K572" t="str">
            <v>P4</v>
          </cell>
          <cell r="L572" t="str">
            <v>YWRR</v>
          </cell>
          <cell r="M572" t="str">
            <v>Y</v>
          </cell>
          <cell r="N572" t="str">
            <v>W</v>
          </cell>
          <cell r="O572" t="str">
            <v>R</v>
          </cell>
          <cell r="P572" t="str">
            <v>R</v>
          </cell>
          <cell r="Q572" t="str">
            <v/>
          </cell>
          <cell r="R572" t="str">
            <v>-</v>
          </cell>
        </row>
        <row r="573">
          <cell r="A573">
            <v>1540824</v>
          </cell>
          <cell r="B573">
            <v>742</v>
          </cell>
          <cell r="C573">
            <v>6041</v>
          </cell>
          <cell r="D573" t="str">
            <v>235/45 R19</v>
          </cell>
          <cell r="E573">
            <v>99</v>
          </cell>
          <cell r="F573" t="str">
            <v>W</v>
          </cell>
          <cell r="G573" t="str">
            <v>BRAVURIS 5HM XL</v>
          </cell>
          <cell r="H573">
            <v>1540824</v>
          </cell>
          <cell r="I573">
            <v>52751</v>
          </cell>
          <cell r="J573">
            <v>0</v>
          </cell>
          <cell r="K573" t="str">
            <v>P4</v>
          </cell>
          <cell r="L573" t="str">
            <v>WYOY</v>
          </cell>
          <cell r="M573" t="str">
            <v>W</v>
          </cell>
          <cell r="N573" t="str">
            <v>Y</v>
          </cell>
          <cell r="O573" t="str">
            <v>O</v>
          </cell>
          <cell r="P573" t="str">
            <v>Y</v>
          </cell>
          <cell r="Q573" t="str">
            <v/>
          </cell>
          <cell r="R573" t="str">
            <v>-</v>
          </cell>
        </row>
        <row r="574">
          <cell r="A574">
            <v>1540825</v>
          </cell>
          <cell r="B574">
            <v>722</v>
          </cell>
          <cell r="C574">
            <v>6035</v>
          </cell>
          <cell r="D574" t="str">
            <v>235/45 R20</v>
          </cell>
          <cell r="E574">
            <v>100</v>
          </cell>
          <cell r="F574" t="str">
            <v>W</v>
          </cell>
          <cell r="G574" t="str">
            <v>BRAVURIS 5HM XL</v>
          </cell>
          <cell r="H574">
            <v>1540825</v>
          </cell>
          <cell r="I574">
            <v>52722</v>
          </cell>
          <cell r="J574">
            <v>0</v>
          </cell>
          <cell r="K574" t="str">
            <v>P8</v>
          </cell>
          <cell r="L574" t="str">
            <v>WOARO</v>
          </cell>
          <cell r="M574" t="str">
            <v>W</v>
          </cell>
          <cell r="N574" t="str">
            <v>O</v>
          </cell>
          <cell r="O574" t="str">
            <v>A</v>
          </cell>
          <cell r="P574" t="str">
            <v>R</v>
          </cell>
          <cell r="Q574" t="str">
            <v>O</v>
          </cell>
          <cell r="R574" t="str">
            <v>-</v>
          </cell>
        </row>
        <row r="575">
          <cell r="A575">
            <v>1540829</v>
          </cell>
          <cell r="B575">
            <v>273</v>
          </cell>
          <cell r="C575">
            <v>3104</v>
          </cell>
          <cell r="D575" t="str">
            <v>235/55 R17</v>
          </cell>
          <cell r="E575">
            <v>103</v>
          </cell>
          <cell r="F575" t="str">
            <v>V</v>
          </cell>
          <cell r="G575" t="str">
            <v>BRAVURIS 5HM XL</v>
          </cell>
          <cell r="H575">
            <v>1540829</v>
          </cell>
          <cell r="I575">
            <v>52373</v>
          </cell>
          <cell r="J575">
            <v>0</v>
          </cell>
          <cell r="K575" t="str">
            <v>P4</v>
          </cell>
          <cell r="L575" t="str">
            <v>RARA</v>
          </cell>
          <cell r="M575" t="str">
            <v>R</v>
          </cell>
          <cell r="N575" t="str">
            <v>A</v>
          </cell>
          <cell r="O575" t="str">
            <v>R</v>
          </cell>
          <cell r="P575" t="str">
            <v>A</v>
          </cell>
          <cell r="Q575" t="str">
            <v/>
          </cell>
          <cell r="R575" t="str">
            <v>-</v>
          </cell>
        </row>
        <row r="576">
          <cell r="A576">
            <v>1540830</v>
          </cell>
          <cell r="B576">
            <v>260</v>
          </cell>
          <cell r="C576">
            <v>3004</v>
          </cell>
          <cell r="D576" t="str">
            <v>235/55 R17</v>
          </cell>
          <cell r="E576">
            <v>103</v>
          </cell>
          <cell r="F576" t="str">
            <v>Y</v>
          </cell>
          <cell r="G576" t="str">
            <v>BRAVURIS 5HM</v>
          </cell>
          <cell r="H576">
            <v>1540830</v>
          </cell>
          <cell r="I576">
            <v>52360</v>
          </cell>
          <cell r="J576">
            <v>0</v>
          </cell>
          <cell r="K576" t="str">
            <v>P4</v>
          </cell>
          <cell r="L576" t="str">
            <v>WRWR</v>
          </cell>
          <cell r="M576" t="str">
            <v>W</v>
          </cell>
          <cell r="N576" t="str">
            <v>R</v>
          </cell>
          <cell r="O576" t="str">
            <v>W</v>
          </cell>
          <cell r="P576" t="str">
            <v>R</v>
          </cell>
          <cell r="Q576" t="str">
            <v/>
          </cell>
          <cell r="R576" t="str">
            <v>-</v>
          </cell>
        </row>
        <row r="577">
          <cell r="A577">
            <v>1540832</v>
          </cell>
          <cell r="B577" t="str">
            <v>-</v>
          </cell>
          <cell r="C577">
            <v>58060</v>
          </cell>
          <cell r="D577" t="str">
            <v>245/35 R20</v>
          </cell>
          <cell r="E577">
            <v>95</v>
          </cell>
          <cell r="F577" t="str">
            <v>Y</v>
          </cell>
          <cell r="G577" t="str">
            <v>BRAVURIS 5HM XL</v>
          </cell>
          <cell r="H577">
            <v>1540832</v>
          </cell>
          <cell r="I577">
            <v>52226</v>
          </cell>
          <cell r="J577">
            <v>0</v>
          </cell>
          <cell r="K577" t="str">
            <v>R</v>
          </cell>
          <cell r="L577" t="str">
            <v>AAAAY</v>
          </cell>
          <cell r="M577" t="str">
            <v>A</v>
          </cell>
          <cell r="N577" t="str">
            <v>A</v>
          </cell>
          <cell r="O577" t="str">
            <v>A</v>
          </cell>
          <cell r="P577" t="str">
            <v>A</v>
          </cell>
          <cell r="Q577" t="str">
            <v>Y</v>
          </cell>
          <cell r="R577" t="str">
            <v>-</v>
          </cell>
        </row>
        <row r="578">
          <cell r="A578">
            <v>1540945</v>
          </cell>
          <cell r="B578">
            <v>986</v>
          </cell>
          <cell r="C578">
            <v>4328</v>
          </cell>
          <cell r="D578" t="str">
            <v>205/45 R16</v>
          </cell>
          <cell r="E578">
            <v>83</v>
          </cell>
          <cell r="F578" t="str">
            <v>W</v>
          </cell>
          <cell r="G578" t="str">
            <v>BRAVURIS 5HM</v>
          </cell>
          <cell r="H578">
            <v>1540945</v>
          </cell>
          <cell r="I578">
            <v>52886</v>
          </cell>
          <cell r="J578">
            <v>0</v>
          </cell>
          <cell r="K578" t="str">
            <v>P4</v>
          </cell>
          <cell r="L578" t="str">
            <v>AARAG</v>
          </cell>
          <cell r="M578" t="str">
            <v>A</v>
          </cell>
          <cell r="N578" t="str">
            <v>A</v>
          </cell>
          <cell r="O578" t="str">
            <v>R</v>
          </cell>
          <cell r="P578" t="str">
            <v>A</v>
          </cell>
          <cell r="Q578" t="str">
            <v>G</v>
          </cell>
          <cell r="R578" t="str">
            <v>-</v>
          </cell>
        </row>
        <row r="579">
          <cell r="A579">
            <v>1540948</v>
          </cell>
          <cell r="B579">
            <v>808</v>
          </cell>
          <cell r="C579">
            <v>5015</v>
          </cell>
          <cell r="D579" t="str">
            <v>175/55 R15</v>
          </cell>
          <cell r="E579">
            <v>77</v>
          </cell>
          <cell r="F579" t="str">
            <v>T</v>
          </cell>
          <cell r="G579" t="str">
            <v>BRAVURIS 5HM</v>
          </cell>
          <cell r="H579">
            <v>1540948</v>
          </cell>
          <cell r="I579">
            <v>52805</v>
          </cell>
          <cell r="J579">
            <v>0</v>
          </cell>
          <cell r="K579" t="str">
            <v>P4</v>
          </cell>
          <cell r="L579" t="str">
            <v>RWO</v>
          </cell>
          <cell r="M579" t="str">
            <v>R</v>
          </cell>
          <cell r="N579" t="str">
            <v>W</v>
          </cell>
          <cell r="O579" t="str">
            <v>O</v>
          </cell>
          <cell r="P579" t="str">
            <v/>
          </cell>
          <cell r="Q579" t="str">
            <v/>
          </cell>
          <cell r="R579" t="str">
            <v>-</v>
          </cell>
        </row>
        <row r="580">
          <cell r="A580">
            <v>1540969</v>
          </cell>
          <cell r="B580">
            <v>561</v>
          </cell>
          <cell r="C580">
            <v>3095</v>
          </cell>
          <cell r="D580" t="str">
            <v>165/65 R15</v>
          </cell>
          <cell r="E580">
            <v>81</v>
          </cell>
          <cell r="F580" t="str">
            <v>T</v>
          </cell>
          <cell r="G580" t="str">
            <v>BRAVURIS 5HM</v>
          </cell>
          <cell r="H580">
            <v>1540969</v>
          </cell>
          <cell r="I580">
            <v>52461</v>
          </cell>
          <cell r="J580">
            <v>0</v>
          </cell>
          <cell r="K580" t="str">
            <v>P8</v>
          </cell>
          <cell r="L580" t="str">
            <v>RY</v>
          </cell>
          <cell r="M580" t="str">
            <v>R</v>
          </cell>
          <cell r="N580" t="str">
            <v>Y</v>
          </cell>
          <cell r="O580" t="str">
            <v/>
          </cell>
          <cell r="P580" t="str">
            <v/>
          </cell>
          <cell r="Q580" t="str">
            <v/>
          </cell>
          <cell r="R580" t="str">
            <v>-</v>
          </cell>
        </row>
        <row r="581">
          <cell r="A581">
            <v>1540971</v>
          </cell>
          <cell r="B581">
            <v>847</v>
          </cell>
          <cell r="C581">
            <v>4093</v>
          </cell>
          <cell r="D581" t="str">
            <v>175/60 R15</v>
          </cell>
          <cell r="E581">
            <v>81</v>
          </cell>
          <cell r="F581" t="str">
            <v>H</v>
          </cell>
          <cell r="G581" t="str">
            <v>BRAVURIS 5HM</v>
          </cell>
          <cell r="H581">
            <v>1540971</v>
          </cell>
          <cell r="I581">
            <v>52847</v>
          </cell>
          <cell r="J581">
            <v>0</v>
          </cell>
          <cell r="K581" t="str">
            <v>P8</v>
          </cell>
          <cell r="L581" t="str">
            <v>WWG</v>
          </cell>
          <cell r="M581" t="str">
            <v>W</v>
          </cell>
          <cell r="N581" t="str">
            <v>W</v>
          </cell>
          <cell r="O581" t="str">
            <v>G</v>
          </cell>
          <cell r="P581" t="str">
            <v/>
          </cell>
          <cell r="Q581" t="str">
            <v/>
          </cell>
          <cell r="R581" t="str">
            <v>-</v>
          </cell>
        </row>
        <row r="582">
          <cell r="A582">
            <v>1540977</v>
          </cell>
          <cell r="B582">
            <v>65</v>
          </cell>
          <cell r="C582">
            <v>5024</v>
          </cell>
          <cell r="D582" t="str">
            <v>205/55 R15</v>
          </cell>
          <cell r="E582">
            <v>88</v>
          </cell>
          <cell r="F582" t="str">
            <v>V</v>
          </cell>
          <cell r="G582" t="str">
            <v>BRAVURIS 5HM</v>
          </cell>
          <cell r="H582">
            <v>1540977</v>
          </cell>
          <cell r="I582">
            <v>52065</v>
          </cell>
          <cell r="J582">
            <v>0</v>
          </cell>
          <cell r="K582" t="str">
            <v>P7</v>
          </cell>
          <cell r="L582" t="str">
            <v>AGYR</v>
          </cell>
          <cell r="M582" t="str">
            <v>A</v>
          </cell>
          <cell r="N582" t="str">
            <v>G</v>
          </cell>
          <cell r="O582" t="str">
            <v>Y</v>
          </cell>
          <cell r="P582" t="str">
            <v>R</v>
          </cell>
          <cell r="Q582" t="str">
            <v/>
          </cell>
          <cell r="R582" t="str">
            <v>-</v>
          </cell>
        </row>
        <row r="583">
          <cell r="A583">
            <v>1540980</v>
          </cell>
          <cell r="B583">
            <v>152</v>
          </cell>
          <cell r="C583">
            <v>6153</v>
          </cell>
          <cell r="D583" t="str">
            <v>205/50 R16</v>
          </cell>
          <cell r="E583">
            <v>87</v>
          </cell>
          <cell r="F583" t="str">
            <v>V</v>
          </cell>
          <cell r="G583" t="str">
            <v>BRAVURIS 5HM</v>
          </cell>
          <cell r="H583">
            <v>1540980</v>
          </cell>
          <cell r="I583">
            <v>52151</v>
          </cell>
          <cell r="J583">
            <v>0</v>
          </cell>
          <cell r="K583" t="str">
            <v>P4</v>
          </cell>
          <cell r="L583" t="str">
            <v>AAY</v>
          </cell>
          <cell r="M583" t="str">
            <v>A</v>
          </cell>
          <cell r="N583" t="str">
            <v>A</v>
          </cell>
          <cell r="O583" t="str">
            <v>Y</v>
          </cell>
          <cell r="P583" t="str">
            <v/>
          </cell>
          <cell r="Q583" t="str">
            <v/>
          </cell>
          <cell r="R583" t="str">
            <v>-</v>
          </cell>
        </row>
        <row r="584">
          <cell r="A584">
            <v>1540981</v>
          </cell>
          <cell r="B584">
            <v>302</v>
          </cell>
          <cell r="C584">
            <v>6253</v>
          </cell>
          <cell r="D584" t="str">
            <v>205/50 R16</v>
          </cell>
          <cell r="E584">
            <v>87</v>
          </cell>
          <cell r="F584" t="str">
            <v>Y</v>
          </cell>
          <cell r="G584" t="str">
            <v>BRAVURIS 5HM</v>
          </cell>
          <cell r="H584">
            <v>1540981</v>
          </cell>
          <cell r="I584">
            <v>52301</v>
          </cell>
          <cell r="J584">
            <v>0</v>
          </cell>
          <cell r="K584" t="str">
            <v>P4</v>
          </cell>
          <cell r="L584" t="str">
            <v>GO</v>
          </cell>
          <cell r="M584" t="str">
            <v>G</v>
          </cell>
          <cell r="N584" t="str">
            <v>O</v>
          </cell>
          <cell r="O584" t="str">
            <v/>
          </cell>
          <cell r="P584" t="str">
            <v/>
          </cell>
          <cell r="Q584" t="str">
            <v/>
          </cell>
          <cell r="R584" t="str">
            <v>-</v>
          </cell>
        </row>
        <row r="585">
          <cell r="A585">
            <v>1540986</v>
          </cell>
          <cell r="B585">
            <v>857</v>
          </cell>
          <cell r="C585">
            <v>5065</v>
          </cell>
          <cell r="D585" t="str">
            <v>215/50 R17</v>
          </cell>
          <cell r="E585">
            <v>91</v>
          </cell>
          <cell r="F585" t="str">
            <v>Y</v>
          </cell>
          <cell r="G585" t="str">
            <v>BRAVURIS 5HM</v>
          </cell>
          <cell r="H585">
            <v>1540986</v>
          </cell>
          <cell r="I585">
            <v>52787</v>
          </cell>
          <cell r="J585">
            <v>0</v>
          </cell>
          <cell r="K585" t="str">
            <v>P4</v>
          </cell>
          <cell r="L585" t="str">
            <v>GWGG</v>
          </cell>
          <cell r="M585" t="str">
            <v>G</v>
          </cell>
          <cell r="N585" t="str">
            <v>W</v>
          </cell>
          <cell r="O585" t="str">
            <v>G</v>
          </cell>
          <cell r="P585" t="str">
            <v>G</v>
          </cell>
          <cell r="Q585" t="str">
            <v/>
          </cell>
          <cell r="R585" t="str">
            <v>-</v>
          </cell>
        </row>
        <row r="586">
          <cell r="A586">
            <v>1540990</v>
          </cell>
          <cell r="B586">
            <v>823</v>
          </cell>
          <cell r="C586">
            <v>2102</v>
          </cell>
          <cell r="D586" t="str">
            <v>225/55 R19</v>
          </cell>
          <cell r="E586">
            <v>99</v>
          </cell>
          <cell r="F586" t="str">
            <v>V</v>
          </cell>
          <cell r="G586" t="str">
            <v>BRAVURIS 5HM</v>
          </cell>
          <cell r="H586">
            <v>1540990</v>
          </cell>
          <cell r="I586">
            <v>52824</v>
          </cell>
          <cell r="J586">
            <v>0</v>
          </cell>
          <cell r="K586" t="str">
            <v>P4</v>
          </cell>
          <cell r="L586" t="str">
            <v>AAOGW</v>
          </cell>
          <cell r="M586" t="str">
            <v>A</v>
          </cell>
          <cell r="N586" t="str">
            <v>A</v>
          </cell>
          <cell r="O586" t="str">
            <v>O</v>
          </cell>
          <cell r="P586" t="str">
            <v>G</v>
          </cell>
          <cell r="Q586" t="str">
            <v>W</v>
          </cell>
          <cell r="R586" t="str">
            <v>-</v>
          </cell>
        </row>
        <row r="587">
          <cell r="A587">
            <v>1541182</v>
          </cell>
          <cell r="B587">
            <v>590</v>
          </cell>
          <cell r="C587">
            <v>3174</v>
          </cell>
          <cell r="D587" t="str">
            <v>215/65 R17</v>
          </cell>
          <cell r="E587">
            <v>103</v>
          </cell>
          <cell r="F587" t="str">
            <v>H</v>
          </cell>
          <cell r="G587" t="str">
            <v>POLARIS 5 XL</v>
          </cell>
          <cell r="H587">
            <v>1541182</v>
          </cell>
          <cell r="I587">
            <v>52390</v>
          </cell>
          <cell r="J587">
            <v>0</v>
          </cell>
          <cell r="K587" t="str">
            <v>P4</v>
          </cell>
          <cell r="L587" t="str">
            <v>AAWWY</v>
          </cell>
          <cell r="M587" t="str">
            <v>A</v>
          </cell>
          <cell r="N587" t="str">
            <v>A</v>
          </cell>
          <cell r="O587" t="str">
            <v>W</v>
          </cell>
          <cell r="P587" t="str">
            <v>W</v>
          </cell>
          <cell r="Q587" t="str">
            <v>Y</v>
          </cell>
          <cell r="R587" t="str">
            <v>-</v>
          </cell>
        </row>
        <row r="588">
          <cell r="A588">
            <v>1541399</v>
          </cell>
          <cell r="B588">
            <v>702</v>
          </cell>
          <cell r="C588">
            <v>4022</v>
          </cell>
          <cell r="D588" t="str">
            <v>225/55 R18</v>
          </cell>
          <cell r="E588">
            <v>102</v>
          </cell>
          <cell r="F588" t="str">
            <v>V</v>
          </cell>
          <cell r="G588" t="str">
            <v>QUARTARIS 5 XL</v>
          </cell>
          <cell r="H588">
            <v>1541399</v>
          </cell>
          <cell r="I588">
            <v>52707</v>
          </cell>
          <cell r="J588">
            <v>0</v>
          </cell>
          <cell r="K588" t="str">
            <v>P0</v>
          </cell>
          <cell r="L588" t="str">
            <v>ROG</v>
          </cell>
          <cell r="M588" t="str">
            <v>R</v>
          </cell>
          <cell r="N588" t="str">
            <v>O</v>
          </cell>
          <cell r="O588" t="str">
            <v>G</v>
          </cell>
          <cell r="P588" t="str">
            <v/>
          </cell>
          <cell r="Q588" t="str">
            <v/>
          </cell>
          <cell r="R588" t="str">
            <v>-</v>
          </cell>
        </row>
        <row r="589">
          <cell r="A589">
            <v>1541403</v>
          </cell>
          <cell r="B589">
            <v>3</v>
          </cell>
          <cell r="C589">
            <v>3003</v>
          </cell>
          <cell r="D589" t="str">
            <v>195/45 R16</v>
          </cell>
          <cell r="E589">
            <v>84</v>
          </cell>
          <cell r="F589" t="str">
            <v>V</v>
          </cell>
          <cell r="G589" t="str">
            <v>QUARTARIS 5 XL</v>
          </cell>
          <cell r="H589">
            <v>1541403</v>
          </cell>
          <cell r="I589">
            <v>52833</v>
          </cell>
          <cell r="J589">
            <v>0</v>
          </cell>
          <cell r="K589" t="str">
            <v>P8</v>
          </cell>
          <cell r="L589" t="str">
            <v>AAGYR</v>
          </cell>
          <cell r="M589" t="str">
            <v>A</v>
          </cell>
          <cell r="N589" t="str">
            <v>A</v>
          </cell>
          <cell r="O589" t="str">
            <v>G</v>
          </cell>
          <cell r="P589" t="str">
            <v>Y</v>
          </cell>
          <cell r="Q589" t="str">
            <v>R</v>
          </cell>
          <cell r="R589" t="str">
            <v>-</v>
          </cell>
        </row>
        <row r="590">
          <cell r="A590">
            <v>1541475</v>
          </cell>
          <cell r="B590" t="str">
            <v>-</v>
          </cell>
          <cell r="C590">
            <v>3050</v>
          </cell>
          <cell r="D590" t="str">
            <v>195/65 R15</v>
          </cell>
          <cell r="E590">
            <v>91</v>
          </cell>
          <cell r="F590" t="str">
            <v>T</v>
          </cell>
          <cell r="G590" t="str">
            <v>POLARIS 6</v>
          </cell>
          <cell r="H590">
            <v>1541475</v>
          </cell>
          <cell r="I590">
            <v>52906</v>
          </cell>
          <cell r="J590">
            <v>0</v>
          </cell>
          <cell r="K590" t="str">
            <v>P0</v>
          </cell>
          <cell r="L590" t="str">
            <v>AGAGA</v>
          </cell>
          <cell r="M590" t="str">
            <v>A</v>
          </cell>
          <cell r="N590" t="str">
            <v>G</v>
          </cell>
          <cell r="O590" t="str">
            <v>A</v>
          </cell>
          <cell r="P590" t="str">
            <v>G</v>
          </cell>
          <cell r="Q590" t="str">
            <v>A</v>
          </cell>
          <cell r="R590" t="str">
            <v>-</v>
          </cell>
        </row>
        <row r="591">
          <cell r="A591">
            <v>1541476</v>
          </cell>
          <cell r="B591" t="str">
            <v>-</v>
          </cell>
          <cell r="C591">
            <v>3150</v>
          </cell>
          <cell r="D591" t="str">
            <v>195/65 R15</v>
          </cell>
          <cell r="E591">
            <v>91</v>
          </cell>
          <cell r="F591" t="str">
            <v>H</v>
          </cell>
          <cell r="G591" t="str">
            <v>POLARIS 6</v>
          </cell>
          <cell r="H591">
            <v>1541476</v>
          </cell>
          <cell r="I591">
            <v>52907</v>
          </cell>
          <cell r="J591">
            <v>0</v>
          </cell>
          <cell r="K591" t="str">
            <v>P0</v>
          </cell>
          <cell r="L591" t="str">
            <v>WAWAY</v>
          </cell>
          <cell r="M591" t="str">
            <v>W</v>
          </cell>
          <cell r="N591" t="str">
            <v>A</v>
          </cell>
          <cell r="O591" t="str">
            <v>W</v>
          </cell>
          <cell r="P591" t="str">
            <v>A</v>
          </cell>
          <cell r="Q591" t="str">
            <v>Y</v>
          </cell>
          <cell r="R591" t="str">
            <v>-</v>
          </cell>
        </row>
        <row r="592">
          <cell r="A592">
            <v>1541477</v>
          </cell>
          <cell r="B592" t="str">
            <v>-</v>
          </cell>
          <cell r="C592">
            <v>3250</v>
          </cell>
          <cell r="D592" t="str">
            <v>195/65 R15</v>
          </cell>
          <cell r="E592">
            <v>95</v>
          </cell>
          <cell r="F592" t="str">
            <v>H</v>
          </cell>
          <cell r="G592" t="str">
            <v>POLARIS 6 XL</v>
          </cell>
          <cell r="H592">
            <v>1541477</v>
          </cell>
          <cell r="I592">
            <v>52908</v>
          </cell>
          <cell r="J592">
            <v>0</v>
          </cell>
          <cell r="K592" t="str">
            <v>P0</v>
          </cell>
          <cell r="L592" t="str">
            <v>YAYAY</v>
          </cell>
          <cell r="M592" t="str">
            <v>Y</v>
          </cell>
          <cell r="N592" t="str">
            <v>A</v>
          </cell>
          <cell r="O592" t="str">
            <v>Y</v>
          </cell>
          <cell r="P592" t="str">
            <v>A</v>
          </cell>
          <cell r="Q592" t="str">
            <v>Y</v>
          </cell>
          <cell r="R592" t="str">
            <v>-</v>
          </cell>
        </row>
        <row r="593">
          <cell r="A593">
            <v>1541506</v>
          </cell>
          <cell r="B593" t="str">
            <v>-</v>
          </cell>
          <cell r="C593">
            <v>2003</v>
          </cell>
          <cell r="D593" t="str">
            <v>225/60 R18</v>
          </cell>
          <cell r="E593">
            <v>104</v>
          </cell>
          <cell r="F593" t="str">
            <v>V</v>
          </cell>
          <cell r="G593" t="str">
            <v>POLARIS 6 XL</v>
          </cell>
          <cell r="H593">
            <v>1541506</v>
          </cell>
          <cell r="I593">
            <v>52781</v>
          </cell>
          <cell r="J593">
            <v>0</v>
          </cell>
          <cell r="K593" t="str">
            <v>P0</v>
          </cell>
          <cell r="L593" t="str">
            <v>ROOO</v>
          </cell>
          <cell r="M593" t="str">
            <v>R</v>
          </cell>
          <cell r="N593" t="str">
            <v>O</v>
          </cell>
          <cell r="O593" t="str">
            <v>O</v>
          </cell>
          <cell r="P593" t="str">
            <v>O</v>
          </cell>
          <cell r="Q593" t="str">
            <v/>
          </cell>
          <cell r="R593" t="str">
            <v>-</v>
          </cell>
        </row>
        <row r="594">
          <cell r="A594">
            <v>1541507</v>
          </cell>
          <cell r="B594" t="str">
            <v>-</v>
          </cell>
          <cell r="C594">
            <v>5000</v>
          </cell>
          <cell r="D594" t="str">
            <v>235/60 R18</v>
          </cell>
          <cell r="E594">
            <v>107</v>
          </cell>
          <cell r="F594" t="str">
            <v>V</v>
          </cell>
          <cell r="G594" t="str">
            <v>POLARIS 6 XL</v>
          </cell>
          <cell r="H594">
            <v>1541507</v>
          </cell>
          <cell r="I594">
            <v>52210</v>
          </cell>
          <cell r="J594">
            <v>0</v>
          </cell>
          <cell r="K594" t="str">
            <v>P4</v>
          </cell>
          <cell r="L594" t="str">
            <v>AWA</v>
          </cell>
          <cell r="M594" t="str">
            <v>A</v>
          </cell>
          <cell r="N594" t="str">
            <v>W</v>
          </cell>
          <cell r="O594" t="str">
            <v>A</v>
          </cell>
          <cell r="P594" t="str">
            <v/>
          </cell>
          <cell r="Q594" t="str">
            <v/>
          </cell>
          <cell r="R594" t="str">
            <v>-</v>
          </cell>
        </row>
        <row r="595">
          <cell r="A595">
            <v>1541508</v>
          </cell>
          <cell r="B595" t="str">
            <v>-</v>
          </cell>
          <cell r="C595">
            <v>5312</v>
          </cell>
          <cell r="D595" t="str">
            <v>215/55 R18</v>
          </cell>
          <cell r="E595">
            <v>99</v>
          </cell>
          <cell r="F595" t="str">
            <v>V</v>
          </cell>
          <cell r="G595" t="str">
            <v>POLARIS 6 XL</v>
          </cell>
          <cell r="H595">
            <v>1541508</v>
          </cell>
          <cell r="I595">
            <v>52046</v>
          </cell>
          <cell r="J595">
            <v>0</v>
          </cell>
          <cell r="K595" t="str">
            <v>P3</v>
          </cell>
          <cell r="L595" t="str">
            <v>AAOYW</v>
          </cell>
          <cell r="M595" t="str">
            <v>A</v>
          </cell>
          <cell r="N595" t="str">
            <v>A</v>
          </cell>
          <cell r="O595" t="str">
            <v>O</v>
          </cell>
          <cell r="P595" t="str">
            <v>Y</v>
          </cell>
          <cell r="Q595" t="str">
            <v>W</v>
          </cell>
          <cell r="R595" t="str">
            <v>-</v>
          </cell>
        </row>
        <row r="596">
          <cell r="A596">
            <v>1541513</v>
          </cell>
          <cell r="B596" t="str">
            <v>-</v>
          </cell>
          <cell r="C596">
            <v>5230</v>
          </cell>
          <cell r="D596" t="str">
            <v>225/45 R18</v>
          </cell>
          <cell r="E596">
            <v>95</v>
          </cell>
          <cell r="F596" t="str">
            <v>V</v>
          </cell>
          <cell r="G596" t="str">
            <v>POLARIS 6 XL</v>
          </cell>
          <cell r="H596">
            <v>1541513</v>
          </cell>
          <cell r="I596">
            <v>52788</v>
          </cell>
          <cell r="J596">
            <v>0</v>
          </cell>
          <cell r="K596" t="str">
            <v>P0</v>
          </cell>
          <cell r="L596" t="str">
            <v>YARGG</v>
          </cell>
          <cell r="M596" t="str">
            <v>Y</v>
          </cell>
          <cell r="N596" t="str">
            <v>A</v>
          </cell>
          <cell r="O596" t="str">
            <v>R</v>
          </cell>
          <cell r="P596" t="str">
            <v>G</v>
          </cell>
          <cell r="Q596" t="str">
            <v>G</v>
          </cell>
          <cell r="R596" t="str">
            <v>-</v>
          </cell>
        </row>
        <row r="597">
          <cell r="A597">
            <v>1541514</v>
          </cell>
          <cell r="B597" t="str">
            <v>-</v>
          </cell>
          <cell r="C597">
            <v>4009</v>
          </cell>
          <cell r="D597" t="str">
            <v>235/45 R18</v>
          </cell>
          <cell r="E597">
            <v>98</v>
          </cell>
          <cell r="F597" t="str">
            <v>V</v>
          </cell>
          <cell r="G597" t="str">
            <v>POLARIS 6 XL</v>
          </cell>
          <cell r="H597">
            <v>1541514</v>
          </cell>
          <cell r="I597">
            <v>52109</v>
          </cell>
          <cell r="J597">
            <v>0</v>
          </cell>
          <cell r="K597" t="str">
            <v>P0</v>
          </cell>
          <cell r="L597" t="str">
            <v>RRWA</v>
          </cell>
          <cell r="M597" t="str">
            <v>R</v>
          </cell>
          <cell r="N597" t="str">
            <v>R</v>
          </cell>
          <cell r="O597" t="str">
            <v>W</v>
          </cell>
          <cell r="P597" t="str">
            <v>A</v>
          </cell>
          <cell r="Q597" t="str">
            <v/>
          </cell>
          <cell r="R597" t="str">
            <v>-</v>
          </cell>
        </row>
        <row r="598">
          <cell r="A598">
            <v>1541517</v>
          </cell>
          <cell r="B598" t="str">
            <v>-</v>
          </cell>
          <cell r="C598">
            <v>58050</v>
          </cell>
          <cell r="D598" t="str">
            <v>245/40 R18</v>
          </cell>
          <cell r="E598">
            <v>97</v>
          </cell>
          <cell r="F598" t="str">
            <v>V</v>
          </cell>
          <cell r="G598" t="str">
            <v>POLARIS 6 XL</v>
          </cell>
          <cell r="H598">
            <v>1541517</v>
          </cell>
          <cell r="I598">
            <v>52185</v>
          </cell>
          <cell r="J598">
            <v>0</v>
          </cell>
          <cell r="K598" t="str">
            <v>P4</v>
          </cell>
          <cell r="L598" t="str">
            <v>GOGWY</v>
          </cell>
          <cell r="M598" t="str">
            <v>G</v>
          </cell>
          <cell r="N598" t="str">
            <v>O</v>
          </cell>
          <cell r="O598" t="str">
            <v>G</v>
          </cell>
          <cell r="P598" t="str">
            <v>W</v>
          </cell>
          <cell r="Q598" t="str">
            <v>Y</v>
          </cell>
          <cell r="R598" t="str">
            <v>-</v>
          </cell>
        </row>
        <row r="599">
          <cell r="A599">
            <v>1541519</v>
          </cell>
          <cell r="B599" t="str">
            <v>-</v>
          </cell>
          <cell r="C599">
            <v>4045</v>
          </cell>
          <cell r="D599" t="str">
            <v>235/50 R19</v>
          </cell>
          <cell r="E599">
            <v>103</v>
          </cell>
          <cell r="F599" t="str">
            <v>V</v>
          </cell>
          <cell r="G599" t="str">
            <v>POLARIS 6 XL</v>
          </cell>
          <cell r="H599">
            <v>1541519</v>
          </cell>
          <cell r="I599">
            <v>52369</v>
          </cell>
          <cell r="J599">
            <v>0</v>
          </cell>
          <cell r="K599" t="str">
            <v>P4</v>
          </cell>
          <cell r="L599" t="str">
            <v>YG</v>
          </cell>
          <cell r="M599" t="str">
            <v>Y</v>
          </cell>
          <cell r="N599" t="str">
            <v>G</v>
          </cell>
          <cell r="O599" t="str">
            <v/>
          </cell>
          <cell r="P599" t="str">
            <v/>
          </cell>
          <cell r="Q599" t="str">
            <v/>
          </cell>
          <cell r="R599" t="str">
            <v>-</v>
          </cell>
        </row>
        <row r="600">
          <cell r="A600">
            <v>1541530</v>
          </cell>
          <cell r="B600" t="str">
            <v>-</v>
          </cell>
          <cell r="C600">
            <v>3091</v>
          </cell>
          <cell r="D600" t="str">
            <v>165/65 R15</v>
          </cell>
          <cell r="E600">
            <v>81</v>
          </cell>
          <cell r="F600" t="str">
            <v>T</v>
          </cell>
          <cell r="G600" t="str">
            <v>POLARIS 6</v>
          </cell>
          <cell r="H600">
            <v>1541530</v>
          </cell>
          <cell r="I600">
            <v>52367</v>
          </cell>
          <cell r="J600">
            <v>0</v>
          </cell>
          <cell r="K600" t="str">
            <v>P8</v>
          </cell>
          <cell r="L600" t="str">
            <v>AOY</v>
          </cell>
          <cell r="M600" t="str">
            <v>A</v>
          </cell>
          <cell r="N600" t="str">
            <v>O</v>
          </cell>
          <cell r="O600" t="str">
            <v>Y</v>
          </cell>
          <cell r="P600" t="str">
            <v/>
          </cell>
          <cell r="Q600" t="str">
            <v/>
          </cell>
          <cell r="R600" t="str">
            <v>-</v>
          </cell>
        </row>
        <row r="601">
          <cell r="A601">
            <v>1541543</v>
          </cell>
          <cell r="B601" t="str">
            <v>-</v>
          </cell>
          <cell r="C601">
            <v>3076</v>
          </cell>
          <cell r="D601" t="str">
            <v>195/50 R16</v>
          </cell>
          <cell r="E601">
            <v>88</v>
          </cell>
          <cell r="F601" t="str">
            <v>H</v>
          </cell>
          <cell r="G601" t="str">
            <v>POLARIS 6 XL</v>
          </cell>
          <cell r="H601">
            <v>1541543</v>
          </cell>
          <cell r="I601">
            <v>52355</v>
          </cell>
          <cell r="J601">
            <v>0</v>
          </cell>
          <cell r="K601" t="str">
            <v>P8</v>
          </cell>
          <cell r="L601" t="str">
            <v>OGR</v>
          </cell>
          <cell r="M601" t="str">
            <v>O</v>
          </cell>
          <cell r="N601" t="str">
            <v>G</v>
          </cell>
          <cell r="O601" t="str">
            <v>R</v>
          </cell>
          <cell r="P601" t="str">
            <v/>
          </cell>
          <cell r="Q601" t="str">
            <v/>
          </cell>
          <cell r="R601" t="str">
            <v>-</v>
          </cell>
        </row>
        <row r="602">
          <cell r="A602">
            <v>1541544</v>
          </cell>
          <cell r="B602" t="str">
            <v>-</v>
          </cell>
          <cell r="C602">
            <v>3103</v>
          </cell>
          <cell r="D602" t="str">
            <v>195/45 R16</v>
          </cell>
          <cell r="E602">
            <v>84</v>
          </cell>
          <cell r="F602" t="str">
            <v>V</v>
          </cell>
          <cell r="G602" t="str">
            <v>POLARIS 6 XL</v>
          </cell>
          <cell r="H602">
            <v>1541544</v>
          </cell>
          <cell r="I602">
            <v>52916</v>
          </cell>
          <cell r="J602">
            <v>0</v>
          </cell>
          <cell r="K602" t="str">
            <v>P8</v>
          </cell>
          <cell r="L602" t="str">
            <v>AAARO</v>
          </cell>
          <cell r="M602" t="str">
            <v>A</v>
          </cell>
          <cell r="N602" t="str">
            <v>A</v>
          </cell>
          <cell r="O602" t="str">
            <v>A</v>
          </cell>
          <cell r="P602" t="str">
            <v>R</v>
          </cell>
          <cell r="Q602" t="str">
            <v>O</v>
          </cell>
          <cell r="R602" t="str">
            <v>-</v>
          </cell>
        </row>
        <row r="603">
          <cell r="A603">
            <v>1541545</v>
          </cell>
          <cell r="B603" t="str">
            <v>-</v>
          </cell>
          <cell r="C603">
            <v>3081</v>
          </cell>
          <cell r="D603" t="str">
            <v>215/45 R16</v>
          </cell>
          <cell r="E603">
            <v>90</v>
          </cell>
          <cell r="F603" t="str">
            <v>V</v>
          </cell>
          <cell r="G603" t="str">
            <v>POLARIS 6 XL</v>
          </cell>
          <cell r="H603">
            <v>1541545</v>
          </cell>
          <cell r="I603">
            <v>52603</v>
          </cell>
          <cell r="J603">
            <v>0</v>
          </cell>
          <cell r="K603" t="str">
            <v>P4</v>
          </cell>
          <cell r="L603" t="str">
            <v>YYYG</v>
          </cell>
          <cell r="M603" t="str">
            <v>Y</v>
          </cell>
          <cell r="N603" t="str">
            <v>Y</v>
          </cell>
          <cell r="O603" t="str">
            <v>Y</v>
          </cell>
          <cell r="P603" t="str">
            <v>G</v>
          </cell>
          <cell r="Q603" t="str">
            <v/>
          </cell>
          <cell r="R603" t="str">
            <v>-</v>
          </cell>
        </row>
        <row r="604">
          <cell r="A604">
            <v>1541549</v>
          </cell>
          <cell r="B604" t="str">
            <v>-</v>
          </cell>
          <cell r="C604">
            <v>58082</v>
          </cell>
          <cell r="D604" t="str">
            <v>215/40 R17</v>
          </cell>
          <cell r="E604">
            <v>87</v>
          </cell>
          <cell r="F604" t="str">
            <v>V</v>
          </cell>
          <cell r="G604" t="str">
            <v>POLARIS 6 XL</v>
          </cell>
          <cell r="H604">
            <v>1541549</v>
          </cell>
          <cell r="I604">
            <v>52231</v>
          </cell>
          <cell r="J604">
            <v>0</v>
          </cell>
          <cell r="K604" t="str">
            <v>P4</v>
          </cell>
          <cell r="L604" t="str">
            <v>WRYGA</v>
          </cell>
          <cell r="M604" t="str">
            <v>W</v>
          </cell>
          <cell r="N604" t="str">
            <v>R</v>
          </cell>
          <cell r="O604" t="str">
            <v>Y</v>
          </cell>
          <cell r="P604" t="str">
            <v>G</v>
          </cell>
          <cell r="Q604" t="str">
            <v>A</v>
          </cell>
          <cell r="R604" t="str">
            <v>-</v>
          </cell>
        </row>
        <row r="605">
          <cell r="A605">
            <v>1541553</v>
          </cell>
          <cell r="B605" t="str">
            <v>-</v>
          </cell>
          <cell r="C605">
            <v>6099</v>
          </cell>
          <cell r="D605" t="str">
            <v>235/50 R18</v>
          </cell>
          <cell r="E605">
            <v>101</v>
          </cell>
          <cell r="F605" t="str">
            <v>V</v>
          </cell>
          <cell r="G605" t="str">
            <v>POLARIS 6 XL</v>
          </cell>
          <cell r="H605">
            <v>1541553</v>
          </cell>
          <cell r="I605">
            <v>52924</v>
          </cell>
          <cell r="J605">
            <v>0</v>
          </cell>
          <cell r="K605" t="str">
            <v>P0</v>
          </cell>
          <cell r="L605" t="str">
            <v>AGAY</v>
          </cell>
          <cell r="M605" t="str">
            <v>A</v>
          </cell>
          <cell r="N605" t="str">
            <v>G</v>
          </cell>
          <cell r="O605" t="str">
            <v>A</v>
          </cell>
          <cell r="P605" t="str">
            <v>Y</v>
          </cell>
          <cell r="Q605" t="str">
            <v/>
          </cell>
          <cell r="R605" t="str">
            <v>-</v>
          </cell>
        </row>
        <row r="606">
          <cell r="A606">
            <v>1541558</v>
          </cell>
          <cell r="B606" t="str">
            <v>-</v>
          </cell>
          <cell r="C606">
            <v>2078</v>
          </cell>
          <cell r="D606" t="str">
            <v>205/55 R19</v>
          </cell>
          <cell r="E606">
            <v>97</v>
          </cell>
          <cell r="F606" t="str">
            <v>V</v>
          </cell>
          <cell r="G606" t="str">
            <v>POLARIS 6 XL</v>
          </cell>
          <cell r="H606">
            <v>1541558</v>
          </cell>
          <cell r="I606">
            <v>52794</v>
          </cell>
          <cell r="J606">
            <v>0</v>
          </cell>
          <cell r="K606" t="str">
            <v>P0</v>
          </cell>
          <cell r="L606" t="str">
            <v>OOOGY</v>
          </cell>
          <cell r="M606" t="str">
            <v>O</v>
          </cell>
          <cell r="N606" t="str">
            <v>O</v>
          </cell>
          <cell r="O606" t="str">
            <v>O</v>
          </cell>
          <cell r="P606" t="str">
            <v>G</v>
          </cell>
          <cell r="Q606" t="str">
            <v>Y</v>
          </cell>
          <cell r="R606" t="str">
            <v>-</v>
          </cell>
        </row>
        <row r="607">
          <cell r="A607">
            <v>1541565</v>
          </cell>
          <cell r="B607" t="str">
            <v>-</v>
          </cell>
          <cell r="C607">
            <v>5033</v>
          </cell>
          <cell r="D607" t="str">
            <v>235/45 R20</v>
          </cell>
          <cell r="E607">
            <v>100</v>
          </cell>
          <cell r="F607" t="str">
            <v>V</v>
          </cell>
          <cell r="G607" t="str">
            <v>POLARIS 6 XL</v>
          </cell>
          <cell r="H607">
            <v>1541565</v>
          </cell>
          <cell r="I607">
            <v>52633</v>
          </cell>
          <cell r="J607">
            <v>0</v>
          </cell>
          <cell r="K607" t="str">
            <v>P0</v>
          </cell>
          <cell r="L607" t="str">
            <v>AAWRR</v>
          </cell>
          <cell r="M607" t="str">
            <v>A</v>
          </cell>
          <cell r="N607" t="str">
            <v>A</v>
          </cell>
          <cell r="O607" t="str">
            <v>W</v>
          </cell>
          <cell r="P607" t="str">
            <v>R</v>
          </cell>
          <cell r="Q607" t="str">
            <v>R</v>
          </cell>
          <cell r="R607" t="str">
            <v>-</v>
          </cell>
        </row>
        <row r="608">
          <cell r="A608">
            <v>1541905</v>
          </cell>
          <cell r="B608" t="str">
            <v>-</v>
          </cell>
          <cell r="C608">
            <v>28001</v>
          </cell>
          <cell r="D608" t="str">
            <v>205/45 R17</v>
          </cell>
          <cell r="E608">
            <v>88</v>
          </cell>
          <cell r="F608" t="str">
            <v>T</v>
          </cell>
          <cell r="G608" t="str">
            <v>POLARIS NORTH 6 XL</v>
          </cell>
          <cell r="H608">
            <v>1541905</v>
          </cell>
          <cell r="I608">
            <v>52253</v>
          </cell>
          <cell r="J608">
            <v>0</v>
          </cell>
          <cell r="K608" t="str">
            <v>P2</v>
          </cell>
          <cell r="L608" t="str">
            <v>RAOOA</v>
          </cell>
          <cell r="M608" t="str">
            <v>R</v>
          </cell>
          <cell r="N608" t="str">
            <v>A</v>
          </cell>
          <cell r="O608" t="str">
            <v>O</v>
          </cell>
          <cell r="P608" t="str">
            <v>O</v>
          </cell>
          <cell r="Q608" t="str">
            <v>A</v>
          </cell>
          <cell r="R608" t="str">
            <v>-</v>
          </cell>
        </row>
        <row r="609">
          <cell r="A609">
            <v>1541906</v>
          </cell>
          <cell r="B609" t="str">
            <v>-</v>
          </cell>
          <cell r="C609">
            <v>20026</v>
          </cell>
          <cell r="D609" t="str">
            <v>205/50 R17</v>
          </cell>
          <cell r="E609">
            <v>93</v>
          </cell>
          <cell r="F609" t="str">
            <v>T</v>
          </cell>
          <cell r="G609" t="str">
            <v>POLARIS NORTH 6 XL</v>
          </cell>
          <cell r="H609">
            <v>1541906</v>
          </cell>
          <cell r="I609">
            <v>52105</v>
          </cell>
          <cell r="J609">
            <v>0</v>
          </cell>
          <cell r="K609" t="str">
            <v>P2</v>
          </cell>
          <cell r="L609" t="str">
            <v>AAAWY</v>
          </cell>
          <cell r="M609" t="str">
            <v>A</v>
          </cell>
          <cell r="N609" t="str">
            <v>A</v>
          </cell>
          <cell r="O609" t="str">
            <v>A</v>
          </cell>
          <cell r="P609" t="str">
            <v>W</v>
          </cell>
          <cell r="Q609" t="str">
            <v>Y</v>
          </cell>
          <cell r="R609" t="str">
            <v>-</v>
          </cell>
        </row>
        <row r="610">
          <cell r="A610">
            <v>1541910</v>
          </cell>
          <cell r="B610" t="str">
            <v>-</v>
          </cell>
          <cell r="C610">
            <v>20240</v>
          </cell>
          <cell r="D610" t="str">
            <v>205/60 R17</v>
          </cell>
          <cell r="E610">
            <v>97</v>
          </cell>
          <cell r="F610" t="str">
            <v>T</v>
          </cell>
          <cell r="G610" t="str">
            <v>POLARIS NORTH 6 XL</v>
          </cell>
          <cell r="H610">
            <v>1541910</v>
          </cell>
          <cell r="I610">
            <v>52123</v>
          </cell>
          <cell r="J610">
            <v>0</v>
          </cell>
          <cell r="K610" t="str">
            <v>P2</v>
          </cell>
          <cell r="L610" t="str">
            <v>AAAWA</v>
          </cell>
          <cell r="M610" t="str">
            <v>A</v>
          </cell>
          <cell r="N610" t="str">
            <v>A</v>
          </cell>
          <cell r="O610" t="str">
            <v>A</v>
          </cell>
          <cell r="P610" t="str">
            <v>W</v>
          </cell>
          <cell r="Q610" t="str">
            <v>A</v>
          </cell>
          <cell r="R610" t="str">
            <v>-</v>
          </cell>
        </row>
        <row r="611">
          <cell r="A611">
            <v>1541911</v>
          </cell>
          <cell r="B611" t="str">
            <v>-</v>
          </cell>
          <cell r="C611">
            <v>20402</v>
          </cell>
          <cell r="D611" t="str">
            <v>215/50 R17</v>
          </cell>
          <cell r="E611">
            <v>95</v>
          </cell>
          <cell r="F611" t="str">
            <v>T</v>
          </cell>
          <cell r="G611" t="str">
            <v>POLARIS NORTH 6 XL</v>
          </cell>
          <cell r="H611">
            <v>1541911</v>
          </cell>
          <cell r="I611">
            <v>52010</v>
          </cell>
          <cell r="J611">
            <v>0</v>
          </cell>
          <cell r="K611" t="str">
            <v>P2</v>
          </cell>
          <cell r="L611" t="str">
            <v>WROAG</v>
          </cell>
          <cell r="M611" t="str">
            <v>W</v>
          </cell>
          <cell r="N611" t="str">
            <v>R</v>
          </cell>
          <cell r="O611" t="str">
            <v>O</v>
          </cell>
          <cell r="P611" t="str">
            <v>A</v>
          </cell>
          <cell r="Q611" t="str">
            <v>G</v>
          </cell>
          <cell r="R611" t="str">
            <v>-</v>
          </cell>
        </row>
        <row r="612">
          <cell r="A612">
            <v>1541925</v>
          </cell>
          <cell r="B612" t="str">
            <v>-</v>
          </cell>
          <cell r="C612">
            <v>20146</v>
          </cell>
          <cell r="D612" t="str">
            <v>225/55 R19</v>
          </cell>
          <cell r="E612">
            <v>103</v>
          </cell>
          <cell r="F612" t="str">
            <v>T</v>
          </cell>
          <cell r="G612" t="str">
            <v>POLARIS 6 NORTH 6 XL</v>
          </cell>
          <cell r="H612">
            <v>1541925</v>
          </cell>
          <cell r="I612">
            <v>52244</v>
          </cell>
          <cell r="J612">
            <v>0</v>
          </cell>
          <cell r="K612" t="str">
            <v>P2</v>
          </cell>
          <cell r="L612" t="str">
            <v>AARY</v>
          </cell>
          <cell r="M612" t="str">
            <v>A</v>
          </cell>
          <cell r="N612" t="str">
            <v>A</v>
          </cell>
          <cell r="O612" t="str">
            <v>R</v>
          </cell>
          <cell r="P612" t="str">
            <v>Y</v>
          </cell>
          <cell r="Q612" t="str">
            <v/>
          </cell>
          <cell r="R612" t="str">
            <v>-</v>
          </cell>
        </row>
        <row r="613">
          <cell r="A613">
            <v>1541929</v>
          </cell>
          <cell r="B613" t="str">
            <v>-</v>
          </cell>
          <cell r="C613">
            <v>28002</v>
          </cell>
          <cell r="D613" t="str">
            <v>235/40 R19</v>
          </cell>
          <cell r="E613">
            <v>96</v>
          </cell>
          <cell r="F613" t="str">
            <v>T</v>
          </cell>
          <cell r="G613" t="str">
            <v>POLARIS NORTH6 XL</v>
          </cell>
          <cell r="H613">
            <v>1541929</v>
          </cell>
          <cell r="I613">
            <v>52520</v>
          </cell>
          <cell r="J613">
            <v>0</v>
          </cell>
          <cell r="K613" t="str">
            <v>P2</v>
          </cell>
          <cell r="L613" t="str">
            <v>AAWRR</v>
          </cell>
          <cell r="M613" t="str">
            <v>A</v>
          </cell>
          <cell r="N613" t="str">
            <v>A</v>
          </cell>
          <cell r="O613" t="str">
            <v>W</v>
          </cell>
          <cell r="P613" t="str">
            <v>R</v>
          </cell>
          <cell r="Q613" t="str">
            <v>R</v>
          </cell>
          <cell r="R613" t="str">
            <v>-</v>
          </cell>
        </row>
        <row r="614">
          <cell r="A614">
            <v>1541930</v>
          </cell>
          <cell r="B614" t="str">
            <v>-</v>
          </cell>
          <cell r="C614">
            <v>20048</v>
          </cell>
          <cell r="D614" t="str">
            <v>235/45 R17</v>
          </cell>
          <cell r="E614">
            <v>97</v>
          </cell>
          <cell r="F614" t="str">
            <v>T</v>
          </cell>
          <cell r="G614" t="str">
            <v>POLARIS NORTH 6 XL</v>
          </cell>
          <cell r="H614">
            <v>1541930</v>
          </cell>
          <cell r="I614">
            <v>52348</v>
          </cell>
          <cell r="J614">
            <v>0</v>
          </cell>
          <cell r="K614" t="str">
            <v>P2</v>
          </cell>
          <cell r="L614" t="str">
            <v>AAOOO</v>
          </cell>
          <cell r="M614" t="str">
            <v>A</v>
          </cell>
          <cell r="N614" t="str">
            <v>A</v>
          </cell>
          <cell r="O614" t="str">
            <v>O</v>
          </cell>
          <cell r="P614" t="str">
            <v>O</v>
          </cell>
          <cell r="Q614" t="str">
            <v>O</v>
          </cell>
          <cell r="R614" t="str">
            <v>-</v>
          </cell>
        </row>
        <row r="615">
          <cell r="A615">
            <v>1541932</v>
          </cell>
          <cell r="B615" t="str">
            <v>-</v>
          </cell>
          <cell r="C615">
            <v>20030</v>
          </cell>
          <cell r="D615" t="str">
            <v>235/45 R19</v>
          </cell>
          <cell r="E615">
            <v>99</v>
          </cell>
          <cell r="F615" t="str">
            <v>T</v>
          </cell>
          <cell r="G615" t="str">
            <v>POLARIS NORTH 6 XL</v>
          </cell>
          <cell r="H615">
            <v>1541932</v>
          </cell>
          <cell r="I615">
            <v>52496</v>
          </cell>
          <cell r="J615">
            <v>0</v>
          </cell>
          <cell r="K615" t="str">
            <v>P2</v>
          </cell>
          <cell r="L615" t="str">
            <v>AAGAO</v>
          </cell>
          <cell r="M615" t="str">
            <v>A</v>
          </cell>
          <cell r="N615" t="str">
            <v>A</v>
          </cell>
          <cell r="O615" t="str">
            <v>G</v>
          </cell>
          <cell r="P615" t="str">
            <v>A</v>
          </cell>
          <cell r="Q615" t="str">
            <v>O</v>
          </cell>
          <cell r="R615" t="str">
            <v>-</v>
          </cell>
        </row>
        <row r="616">
          <cell r="A616">
            <v>1541933</v>
          </cell>
          <cell r="B616" t="str">
            <v>-</v>
          </cell>
          <cell r="C616">
            <v>20015</v>
          </cell>
          <cell r="D616" t="str">
            <v>235/45 R20</v>
          </cell>
          <cell r="E616">
            <v>100</v>
          </cell>
          <cell r="F616" t="str">
            <v>T</v>
          </cell>
          <cell r="G616" t="str">
            <v>POLARIS NORTH 6 XL</v>
          </cell>
          <cell r="H616">
            <v>1541933</v>
          </cell>
          <cell r="I616">
            <v>52269</v>
          </cell>
          <cell r="J616">
            <v>0</v>
          </cell>
          <cell r="K616" t="str">
            <v>P2</v>
          </cell>
          <cell r="L616" t="str">
            <v>GGGGG</v>
          </cell>
          <cell r="M616" t="str">
            <v>G</v>
          </cell>
          <cell r="N616" t="str">
            <v>G</v>
          </cell>
          <cell r="O616" t="str">
            <v>G</v>
          </cell>
          <cell r="P616" t="str">
            <v>G</v>
          </cell>
          <cell r="Q616" t="str">
            <v>G</v>
          </cell>
          <cell r="R616" t="str">
            <v>-</v>
          </cell>
        </row>
        <row r="617">
          <cell r="A617">
            <v>1541936</v>
          </cell>
          <cell r="B617" t="str">
            <v>-</v>
          </cell>
          <cell r="C617">
            <v>20045</v>
          </cell>
          <cell r="D617" t="str">
            <v>235/50 R20</v>
          </cell>
          <cell r="E617">
            <v>104</v>
          </cell>
          <cell r="F617" t="str">
            <v>T</v>
          </cell>
          <cell r="G617" t="str">
            <v>POLARIS NORTH 6 XL</v>
          </cell>
          <cell r="H617">
            <v>1541936</v>
          </cell>
          <cell r="I617">
            <v>52525</v>
          </cell>
          <cell r="J617">
            <v>0</v>
          </cell>
          <cell r="K617" t="str">
            <v>P2</v>
          </cell>
          <cell r="L617" t="str">
            <v>AAYWY</v>
          </cell>
          <cell r="M617" t="str">
            <v>A</v>
          </cell>
          <cell r="N617" t="str">
            <v>A</v>
          </cell>
          <cell r="O617" t="str">
            <v>Y</v>
          </cell>
          <cell r="P617" t="str">
            <v>W</v>
          </cell>
          <cell r="Q617" t="str">
            <v>Y</v>
          </cell>
          <cell r="R617" t="str">
            <v>-</v>
          </cell>
        </row>
        <row r="618">
          <cell r="A618">
            <v>1541937</v>
          </cell>
          <cell r="B618" t="str">
            <v>-</v>
          </cell>
          <cell r="C618">
            <v>20113</v>
          </cell>
          <cell r="D618" t="str">
            <v>235/55 R17</v>
          </cell>
          <cell r="E618">
            <v>103</v>
          </cell>
          <cell r="F618" t="str">
            <v>T</v>
          </cell>
          <cell r="G618" t="str">
            <v>POLARIS NORTH 6 XL</v>
          </cell>
          <cell r="H618">
            <v>1541937</v>
          </cell>
          <cell r="I618">
            <v>52053</v>
          </cell>
          <cell r="J618">
            <v>0</v>
          </cell>
          <cell r="K618" t="str">
            <v>P2</v>
          </cell>
          <cell r="L618" t="str">
            <v>AWAWA</v>
          </cell>
          <cell r="M618" t="str">
            <v>A</v>
          </cell>
          <cell r="N618" t="str">
            <v>W</v>
          </cell>
          <cell r="O618" t="str">
            <v>A</v>
          </cell>
          <cell r="P618" t="str">
            <v>W</v>
          </cell>
          <cell r="Q618" t="str">
            <v>A</v>
          </cell>
          <cell r="R618" t="str">
            <v>-</v>
          </cell>
        </row>
        <row r="619">
          <cell r="A619">
            <v>1541941</v>
          </cell>
          <cell r="B619" t="str">
            <v>-</v>
          </cell>
          <cell r="C619">
            <v>28047</v>
          </cell>
          <cell r="D619" t="str">
            <v>245/40 R19</v>
          </cell>
          <cell r="E619">
            <v>98</v>
          </cell>
          <cell r="F619" t="str">
            <v>T</v>
          </cell>
          <cell r="G619" t="str">
            <v>POLARIS NORTH 6 XL</v>
          </cell>
          <cell r="H619">
            <v>1541941</v>
          </cell>
          <cell r="I619">
            <v>52133</v>
          </cell>
          <cell r="J619">
            <v>0</v>
          </cell>
          <cell r="K619" t="str">
            <v>P2</v>
          </cell>
          <cell r="L619" t="str">
            <v>AARRR</v>
          </cell>
          <cell r="M619" t="str">
            <v>A</v>
          </cell>
          <cell r="N619" t="str">
            <v>A</v>
          </cell>
          <cell r="O619" t="str">
            <v>R</v>
          </cell>
          <cell r="P619" t="str">
            <v>R</v>
          </cell>
          <cell r="Q619" t="str">
            <v>R</v>
          </cell>
          <cell r="R619" t="str">
            <v>-</v>
          </cell>
        </row>
        <row r="620">
          <cell r="A620">
            <v>1541945</v>
          </cell>
          <cell r="B620" t="str">
            <v>-</v>
          </cell>
          <cell r="C620">
            <v>20145</v>
          </cell>
          <cell r="D620" t="str">
            <v>245/45 R20</v>
          </cell>
          <cell r="E620">
            <v>103</v>
          </cell>
          <cell r="F620" t="str">
            <v>T</v>
          </cell>
          <cell r="G620" t="str">
            <v>POLARIS NORTH 6 XL</v>
          </cell>
          <cell r="H620">
            <v>1541945</v>
          </cell>
          <cell r="I620">
            <v>52203</v>
          </cell>
          <cell r="J620">
            <v>0</v>
          </cell>
          <cell r="K620" t="str">
            <v>P2</v>
          </cell>
          <cell r="L620" t="str">
            <v>AAYYY</v>
          </cell>
          <cell r="M620" t="str">
            <v>A</v>
          </cell>
          <cell r="N620" t="str">
            <v>A</v>
          </cell>
          <cell r="O620" t="str">
            <v>Y</v>
          </cell>
          <cell r="P620" t="str">
            <v>Y</v>
          </cell>
          <cell r="Q620" t="str">
            <v>Y</v>
          </cell>
          <cell r="R620" t="str">
            <v>-</v>
          </cell>
        </row>
        <row r="621">
          <cell r="A621">
            <v>1541946</v>
          </cell>
          <cell r="B621" t="str">
            <v>-</v>
          </cell>
          <cell r="C621">
            <v>20067</v>
          </cell>
          <cell r="D621" t="str">
            <v>255/40 R19</v>
          </cell>
          <cell r="E621">
            <v>100</v>
          </cell>
          <cell r="F621" t="str">
            <v>T</v>
          </cell>
          <cell r="G621" t="str">
            <v>POLARIS NORTH 6 XL</v>
          </cell>
          <cell r="H621">
            <v>1541946</v>
          </cell>
          <cell r="I621">
            <v>52867</v>
          </cell>
          <cell r="J621">
            <v>0</v>
          </cell>
          <cell r="K621" t="str">
            <v>P2</v>
          </cell>
          <cell r="L621" t="str">
            <v>RRWWA</v>
          </cell>
          <cell r="M621" t="str">
            <v>R</v>
          </cell>
          <cell r="N621" t="str">
            <v>R</v>
          </cell>
          <cell r="O621" t="str">
            <v>W</v>
          </cell>
          <cell r="P621" t="str">
            <v>W</v>
          </cell>
          <cell r="Q621" t="str">
            <v>A</v>
          </cell>
          <cell r="R621" t="str">
            <v>-</v>
          </cell>
        </row>
        <row r="622">
          <cell r="A622">
            <v>1541962</v>
          </cell>
          <cell r="B622" t="str">
            <v>-</v>
          </cell>
          <cell r="C622">
            <v>20050</v>
          </cell>
          <cell r="D622" t="str">
            <v>185/65 R15</v>
          </cell>
          <cell r="E622">
            <v>92</v>
          </cell>
          <cell r="F622" t="str">
            <v>T</v>
          </cell>
          <cell r="G622" t="str">
            <v>POLARIS ICE 6 XL</v>
          </cell>
          <cell r="H622">
            <v>1541962</v>
          </cell>
          <cell r="I622">
            <v>52197</v>
          </cell>
          <cell r="J622">
            <v>0</v>
          </cell>
          <cell r="K622" t="str">
            <v>P2</v>
          </cell>
          <cell r="L622" t="str">
            <v>GOG</v>
          </cell>
          <cell r="M622" t="str">
            <v>G</v>
          </cell>
          <cell r="N622" t="str">
            <v>O</v>
          </cell>
          <cell r="O622" t="str">
            <v>G</v>
          </cell>
          <cell r="P622" t="str">
            <v/>
          </cell>
          <cell r="Q622" t="str">
            <v/>
          </cell>
          <cell r="R622" t="str">
            <v>-</v>
          </cell>
        </row>
        <row r="623">
          <cell r="A623">
            <v>1541968</v>
          </cell>
          <cell r="B623" t="str">
            <v>-</v>
          </cell>
          <cell r="C623">
            <v>20044</v>
          </cell>
          <cell r="D623" t="str">
            <v>215/65 R16</v>
          </cell>
          <cell r="E623">
            <v>102</v>
          </cell>
          <cell r="F623" t="str">
            <v>T</v>
          </cell>
          <cell r="G623" t="str">
            <v>POLARIS NORTH 6 XL</v>
          </cell>
          <cell r="H623">
            <v>1541968</v>
          </cell>
          <cell r="I623">
            <v>52075</v>
          </cell>
          <cell r="J623">
            <v>0</v>
          </cell>
          <cell r="K623" t="str">
            <v>P7</v>
          </cell>
          <cell r="L623" t="str">
            <v>GYOYG</v>
          </cell>
          <cell r="M623" t="str">
            <v>G</v>
          </cell>
          <cell r="N623" t="str">
            <v>Y</v>
          </cell>
          <cell r="O623" t="str">
            <v>O</v>
          </cell>
          <cell r="P623" t="str">
            <v>Y</v>
          </cell>
          <cell r="Q623" t="str">
            <v>G</v>
          </cell>
          <cell r="R623" t="str">
            <v>-</v>
          </cell>
        </row>
        <row r="624">
          <cell r="A624">
            <v>1542167</v>
          </cell>
          <cell r="B624" t="str">
            <v>-</v>
          </cell>
          <cell r="C624">
            <v>4061</v>
          </cell>
          <cell r="D624" t="str">
            <v>195/65 R15</v>
          </cell>
          <cell r="E624">
            <v>91</v>
          </cell>
          <cell r="F624" t="str">
            <v>H</v>
          </cell>
          <cell r="G624" t="str">
            <v>BRAVURIS 6</v>
          </cell>
          <cell r="H624">
            <v>1542167</v>
          </cell>
          <cell r="I624">
            <v>52213</v>
          </cell>
          <cell r="J624">
            <v>0</v>
          </cell>
          <cell r="K624" t="str">
            <v>P2</v>
          </cell>
          <cell r="L624" t="str">
            <v>AARGY</v>
          </cell>
          <cell r="M624" t="str">
            <v>A</v>
          </cell>
          <cell r="N624" t="str">
            <v>A</v>
          </cell>
          <cell r="O624" t="str">
            <v>R</v>
          </cell>
          <cell r="P624" t="str">
            <v>G</v>
          </cell>
          <cell r="Q624" t="str">
            <v>Y</v>
          </cell>
          <cell r="R624" t="str">
            <v>-</v>
          </cell>
        </row>
        <row r="625">
          <cell r="A625">
            <v>1542168</v>
          </cell>
          <cell r="B625" t="str">
            <v>-</v>
          </cell>
          <cell r="C625">
            <v>4361</v>
          </cell>
          <cell r="D625" t="str">
            <v>195/65 R15</v>
          </cell>
          <cell r="E625">
            <v>91</v>
          </cell>
          <cell r="F625" t="str">
            <v>V</v>
          </cell>
          <cell r="G625" t="str">
            <v>BRAVURIS 6</v>
          </cell>
          <cell r="H625">
            <v>1542168</v>
          </cell>
          <cell r="I625">
            <v>52236</v>
          </cell>
          <cell r="J625">
            <v>0</v>
          </cell>
          <cell r="K625" t="str">
            <v>P2</v>
          </cell>
          <cell r="L625" t="str">
            <v>YRRWG</v>
          </cell>
          <cell r="M625" t="str">
            <v>Y</v>
          </cell>
          <cell r="N625" t="str">
            <v>R</v>
          </cell>
          <cell r="O625" t="str">
            <v>R</v>
          </cell>
          <cell r="P625" t="str">
            <v>W</v>
          </cell>
          <cell r="Q625" t="str">
            <v>G</v>
          </cell>
          <cell r="R625" t="str">
            <v>-</v>
          </cell>
        </row>
        <row r="626">
          <cell r="A626">
            <v>1542170</v>
          </cell>
          <cell r="B626" t="str">
            <v>-</v>
          </cell>
          <cell r="C626">
            <v>4161</v>
          </cell>
          <cell r="D626" t="str">
            <v>195/65 R15</v>
          </cell>
          <cell r="E626">
            <v>95</v>
          </cell>
          <cell r="F626" t="str">
            <v>T</v>
          </cell>
          <cell r="G626" t="str">
            <v>BRAVURIS 6 XL</v>
          </cell>
          <cell r="H626">
            <v>1542170</v>
          </cell>
          <cell r="I626">
            <v>52228</v>
          </cell>
          <cell r="J626">
            <v>0</v>
          </cell>
          <cell r="K626" t="str">
            <v>P2</v>
          </cell>
          <cell r="L626" t="str">
            <v>WRGRW</v>
          </cell>
          <cell r="M626" t="str">
            <v>W</v>
          </cell>
          <cell r="N626" t="str">
            <v>R</v>
          </cell>
          <cell r="O626" t="str">
            <v>G</v>
          </cell>
          <cell r="P626" t="str">
            <v>R</v>
          </cell>
          <cell r="Q626" t="str">
            <v>W</v>
          </cell>
          <cell r="R626" t="str">
            <v>-</v>
          </cell>
        </row>
        <row r="627">
          <cell r="A627">
            <v>1542194</v>
          </cell>
          <cell r="B627" t="str">
            <v>-</v>
          </cell>
          <cell r="C627">
            <v>2034</v>
          </cell>
          <cell r="D627" t="str">
            <v>225/45 R17</v>
          </cell>
          <cell r="E627">
            <v>94</v>
          </cell>
          <cell r="F627" t="str">
            <v>V</v>
          </cell>
          <cell r="G627" t="str">
            <v>BRAVURIS 6 FR XL</v>
          </cell>
          <cell r="H627">
            <v>1542194</v>
          </cell>
          <cell r="I627">
            <v>52282</v>
          </cell>
          <cell r="J627">
            <v>0</v>
          </cell>
          <cell r="K627" t="str">
            <v>P0</v>
          </cell>
          <cell r="L627" t="str">
            <v>GAYY</v>
          </cell>
          <cell r="M627" t="str">
            <v>G</v>
          </cell>
          <cell r="N627" t="str">
            <v>A</v>
          </cell>
          <cell r="O627" t="str">
            <v>Y</v>
          </cell>
          <cell r="P627" t="str">
            <v>Y</v>
          </cell>
          <cell r="Q627" t="str">
            <v/>
          </cell>
          <cell r="R627" t="str">
            <v>-</v>
          </cell>
        </row>
        <row r="628">
          <cell r="A628">
            <v>1542195</v>
          </cell>
          <cell r="B628" t="str">
            <v>-</v>
          </cell>
          <cell r="C628">
            <v>4052</v>
          </cell>
          <cell r="D628" t="str">
            <v>225/45 R17</v>
          </cell>
          <cell r="E628">
            <v>91</v>
          </cell>
          <cell r="F628" t="str">
            <v>V</v>
          </cell>
          <cell r="G628" t="str">
            <v>BRAVURIS 6 FR</v>
          </cell>
          <cell r="H628">
            <v>1542195</v>
          </cell>
          <cell r="I628">
            <v>52254</v>
          </cell>
          <cell r="J628">
            <v>0</v>
          </cell>
          <cell r="K628" t="str">
            <v>P0</v>
          </cell>
          <cell r="L628" t="str">
            <v>GAOO</v>
          </cell>
          <cell r="M628" t="str">
            <v>G</v>
          </cell>
          <cell r="N628" t="str">
            <v>A</v>
          </cell>
          <cell r="O628" t="str">
            <v>O</v>
          </cell>
          <cell r="P628" t="str">
            <v>O</v>
          </cell>
          <cell r="Q628" t="str">
            <v/>
          </cell>
          <cell r="R628" t="str">
            <v>-</v>
          </cell>
        </row>
        <row r="629">
          <cell r="A629">
            <v>1542196</v>
          </cell>
          <cell r="B629" t="str">
            <v>-</v>
          </cell>
          <cell r="C629">
            <v>4152</v>
          </cell>
          <cell r="D629" t="str">
            <v>225/45 R17</v>
          </cell>
          <cell r="E629">
            <v>94</v>
          </cell>
          <cell r="F629" t="str">
            <v>Y</v>
          </cell>
          <cell r="G629" t="str">
            <v>BRAVURIS 6 XL</v>
          </cell>
          <cell r="H629">
            <v>1542196</v>
          </cell>
          <cell r="I629">
            <v>52256</v>
          </cell>
          <cell r="J629">
            <v>0</v>
          </cell>
          <cell r="K629" t="str">
            <v>P0</v>
          </cell>
          <cell r="L629" t="str">
            <v>GARA</v>
          </cell>
          <cell r="M629" t="str">
            <v>G</v>
          </cell>
          <cell r="N629" t="str">
            <v>A</v>
          </cell>
          <cell r="O629" t="str">
            <v>R</v>
          </cell>
          <cell r="P629" t="str">
            <v>A</v>
          </cell>
          <cell r="Q629" t="str">
            <v/>
          </cell>
          <cell r="R629" t="str">
            <v>-</v>
          </cell>
        </row>
        <row r="630">
          <cell r="A630">
            <v>1542202</v>
          </cell>
          <cell r="B630" t="str">
            <v>-</v>
          </cell>
          <cell r="C630">
            <v>58071</v>
          </cell>
          <cell r="D630" t="str">
            <v>215/45 R18</v>
          </cell>
          <cell r="E630">
            <v>93</v>
          </cell>
          <cell r="F630" t="str">
            <v>Y</v>
          </cell>
          <cell r="G630" t="str">
            <v>BRAVURIS 6 XL</v>
          </cell>
          <cell r="H630">
            <v>1542202</v>
          </cell>
          <cell r="I630">
            <v>52035</v>
          </cell>
          <cell r="J630">
            <v>0</v>
          </cell>
          <cell r="K630" t="str">
            <v>P2</v>
          </cell>
          <cell r="L630" t="str">
            <v>GGGGG</v>
          </cell>
          <cell r="M630" t="str">
            <v>G</v>
          </cell>
          <cell r="N630" t="str">
            <v>G</v>
          </cell>
          <cell r="O630" t="str">
            <v>G</v>
          </cell>
          <cell r="P630" t="str">
            <v>G</v>
          </cell>
          <cell r="Q630" t="str">
            <v>G</v>
          </cell>
          <cell r="R630" t="str">
            <v>-</v>
          </cell>
        </row>
        <row r="631">
          <cell r="A631">
            <v>1542203</v>
          </cell>
          <cell r="B631" t="str">
            <v>-</v>
          </cell>
          <cell r="C631">
            <v>5063</v>
          </cell>
          <cell r="D631" t="str">
            <v>215/55 R18</v>
          </cell>
          <cell r="E631">
            <v>99</v>
          </cell>
          <cell r="F631" t="str">
            <v>V</v>
          </cell>
          <cell r="G631" t="str">
            <v>BRAVURIS 6 XL</v>
          </cell>
          <cell r="H631">
            <v>1542203</v>
          </cell>
          <cell r="I631">
            <v>52536</v>
          </cell>
          <cell r="J631">
            <v>0</v>
          </cell>
          <cell r="K631" t="str">
            <v>P2</v>
          </cell>
          <cell r="L631" t="str">
            <v>RRWWR</v>
          </cell>
          <cell r="M631" t="str">
            <v>R</v>
          </cell>
          <cell r="N631" t="str">
            <v>R</v>
          </cell>
          <cell r="O631" t="str">
            <v>W</v>
          </cell>
          <cell r="P631" t="str">
            <v>W</v>
          </cell>
          <cell r="Q631" t="str">
            <v>R</v>
          </cell>
          <cell r="R631" t="str">
            <v>-</v>
          </cell>
        </row>
        <row r="632">
          <cell r="A632">
            <v>1542206</v>
          </cell>
          <cell r="B632" t="str">
            <v>-</v>
          </cell>
          <cell r="C632">
            <v>4067</v>
          </cell>
          <cell r="D632" t="str">
            <v>235/45 R18</v>
          </cell>
          <cell r="E632">
            <v>98</v>
          </cell>
          <cell r="F632" t="str">
            <v>Y</v>
          </cell>
          <cell r="G632" t="str">
            <v>BRAVURIS 6 XL</v>
          </cell>
          <cell r="H632">
            <v>1542206</v>
          </cell>
          <cell r="I632">
            <v>52632</v>
          </cell>
          <cell r="J632">
            <v>0</v>
          </cell>
          <cell r="K632" t="str">
            <v>P0</v>
          </cell>
          <cell r="L632" t="str">
            <v>RRRRW</v>
          </cell>
          <cell r="M632" t="str">
            <v>R</v>
          </cell>
          <cell r="N632" t="str">
            <v>R</v>
          </cell>
          <cell r="O632" t="str">
            <v>R</v>
          </cell>
          <cell r="P632" t="str">
            <v>R</v>
          </cell>
          <cell r="Q632" t="str">
            <v>W</v>
          </cell>
          <cell r="R632" t="str">
            <v>-</v>
          </cell>
        </row>
        <row r="633">
          <cell r="A633">
            <v>1542207</v>
          </cell>
          <cell r="B633" t="str">
            <v>-</v>
          </cell>
          <cell r="C633">
            <v>2035</v>
          </cell>
          <cell r="D633" t="str">
            <v>235/50 R18</v>
          </cell>
          <cell r="E633">
            <v>97</v>
          </cell>
          <cell r="F633" t="str">
            <v>V</v>
          </cell>
          <cell r="G633" t="str">
            <v>BRAVURIS 6</v>
          </cell>
          <cell r="H633">
            <v>1542207</v>
          </cell>
          <cell r="I633">
            <v>52925</v>
          </cell>
          <cell r="J633">
            <v>0</v>
          </cell>
          <cell r="K633" t="str">
            <v>P2</v>
          </cell>
          <cell r="L633" t="str">
            <v>AARYY</v>
          </cell>
          <cell r="M633" t="str">
            <v>A</v>
          </cell>
          <cell r="N633" t="str">
            <v>A</v>
          </cell>
          <cell r="O633" t="str">
            <v>R</v>
          </cell>
          <cell r="P633" t="str">
            <v>Y</v>
          </cell>
          <cell r="Q633" t="str">
            <v>Y</v>
          </cell>
          <cell r="R633" t="str">
            <v>-</v>
          </cell>
        </row>
        <row r="634">
          <cell r="A634">
            <v>1542208</v>
          </cell>
          <cell r="B634" t="str">
            <v>-</v>
          </cell>
          <cell r="C634">
            <v>5081</v>
          </cell>
          <cell r="D634" t="str">
            <v>235/50 R18</v>
          </cell>
          <cell r="E634">
            <v>101</v>
          </cell>
          <cell r="F634" t="str">
            <v>Y</v>
          </cell>
          <cell r="G634" t="str">
            <v>BRAVURIS 6 XL</v>
          </cell>
          <cell r="H634">
            <v>1542208</v>
          </cell>
          <cell r="I634">
            <v>52922</v>
          </cell>
          <cell r="J634">
            <v>0</v>
          </cell>
          <cell r="K634" t="str">
            <v>P2</v>
          </cell>
          <cell r="L634" t="str">
            <v>RWWAA</v>
          </cell>
          <cell r="M634" t="str">
            <v>R</v>
          </cell>
          <cell r="N634" t="str">
            <v>W</v>
          </cell>
          <cell r="O634" t="str">
            <v>W</v>
          </cell>
          <cell r="P634" t="str">
            <v>A</v>
          </cell>
          <cell r="Q634" t="str">
            <v>A</v>
          </cell>
          <cell r="R634" t="str">
            <v>-</v>
          </cell>
        </row>
        <row r="635">
          <cell r="A635">
            <v>1542209</v>
          </cell>
          <cell r="B635" t="str">
            <v>-</v>
          </cell>
          <cell r="C635">
            <v>6073</v>
          </cell>
          <cell r="D635" t="str">
            <v>235/55 R18</v>
          </cell>
          <cell r="E635">
            <v>100</v>
          </cell>
          <cell r="F635" t="str">
            <v>V</v>
          </cell>
          <cell r="G635" t="str">
            <v>BRAVURIS 6</v>
          </cell>
          <cell r="H635">
            <v>1542209</v>
          </cell>
          <cell r="I635">
            <v>52752</v>
          </cell>
          <cell r="J635">
            <v>0</v>
          </cell>
          <cell r="K635" t="str">
            <v>P0</v>
          </cell>
          <cell r="L635" t="str">
            <v>AAAWW</v>
          </cell>
          <cell r="M635" t="str">
            <v>A</v>
          </cell>
          <cell r="N635" t="str">
            <v>A</v>
          </cell>
          <cell r="O635" t="str">
            <v>A</v>
          </cell>
          <cell r="P635" t="str">
            <v>W</v>
          </cell>
          <cell r="Q635" t="str">
            <v>W</v>
          </cell>
          <cell r="R635" t="str">
            <v>-</v>
          </cell>
        </row>
        <row r="636">
          <cell r="A636">
            <v>1542210</v>
          </cell>
          <cell r="B636" t="str">
            <v>-</v>
          </cell>
          <cell r="C636">
            <v>6173</v>
          </cell>
          <cell r="D636" t="str">
            <v>235/55 R18</v>
          </cell>
          <cell r="E636">
            <v>104</v>
          </cell>
          <cell r="F636" t="str">
            <v>V</v>
          </cell>
          <cell r="G636" t="str">
            <v>BRAVURIS 6 XL</v>
          </cell>
          <cell r="H636">
            <v>1542210</v>
          </cell>
          <cell r="I636">
            <v>52753</v>
          </cell>
          <cell r="J636">
            <v>0</v>
          </cell>
          <cell r="K636" t="str">
            <v>P0</v>
          </cell>
          <cell r="L636" t="str">
            <v>AAAYY</v>
          </cell>
          <cell r="M636" t="str">
            <v>A</v>
          </cell>
          <cell r="N636" t="str">
            <v>A</v>
          </cell>
          <cell r="O636" t="str">
            <v>A</v>
          </cell>
          <cell r="P636" t="str">
            <v>Y</v>
          </cell>
          <cell r="Q636" t="str">
            <v>Y</v>
          </cell>
          <cell r="R636" t="str">
            <v>-</v>
          </cell>
        </row>
        <row r="637">
          <cell r="A637">
            <v>1542211</v>
          </cell>
          <cell r="B637" t="str">
            <v>-</v>
          </cell>
          <cell r="C637">
            <v>95</v>
          </cell>
          <cell r="D637" t="str">
            <v>235/60 R18</v>
          </cell>
          <cell r="E637">
            <v>103</v>
          </cell>
          <cell r="F637" t="str">
            <v>V</v>
          </cell>
          <cell r="G637" t="str">
            <v>BRAVURIS 6</v>
          </cell>
          <cell r="H637">
            <v>1542211</v>
          </cell>
          <cell r="I637">
            <v>52502</v>
          </cell>
          <cell r="J637">
            <v>0</v>
          </cell>
          <cell r="K637" t="str">
            <v>P5</v>
          </cell>
          <cell r="L637" t="str">
            <v>OR</v>
          </cell>
          <cell r="M637" t="str">
            <v>O</v>
          </cell>
          <cell r="N637" t="str">
            <v>R</v>
          </cell>
          <cell r="O637" t="str">
            <v/>
          </cell>
          <cell r="P637" t="str">
            <v/>
          </cell>
          <cell r="Q637" t="str">
            <v/>
          </cell>
          <cell r="R637" t="str">
            <v>-</v>
          </cell>
        </row>
        <row r="638">
          <cell r="A638">
            <v>1542212</v>
          </cell>
          <cell r="B638" t="str">
            <v>-</v>
          </cell>
          <cell r="C638">
            <v>76</v>
          </cell>
          <cell r="D638" t="str">
            <v>235/60 R18</v>
          </cell>
          <cell r="E638">
            <v>107</v>
          </cell>
          <cell r="F638" t="str">
            <v>W</v>
          </cell>
          <cell r="G638" t="str">
            <v>BRAVURIS 6 XL</v>
          </cell>
          <cell r="H638">
            <v>1542212</v>
          </cell>
          <cell r="I638">
            <v>52501</v>
          </cell>
          <cell r="J638">
            <v>0</v>
          </cell>
          <cell r="K638" t="str">
            <v>P5</v>
          </cell>
          <cell r="L638" t="str">
            <v>RY</v>
          </cell>
          <cell r="M638" t="str">
            <v>R</v>
          </cell>
          <cell r="N638" t="str">
            <v>Y</v>
          </cell>
          <cell r="O638" t="str">
            <v/>
          </cell>
          <cell r="P638" t="str">
            <v/>
          </cell>
          <cell r="Q638" t="str">
            <v/>
          </cell>
          <cell r="R638" t="str">
            <v>-</v>
          </cell>
        </row>
        <row r="639">
          <cell r="A639">
            <v>1542220</v>
          </cell>
          <cell r="B639" t="str">
            <v>-</v>
          </cell>
          <cell r="C639">
            <v>6165</v>
          </cell>
          <cell r="D639" t="str">
            <v>235/50 R19</v>
          </cell>
          <cell r="E639">
            <v>99</v>
          </cell>
          <cell r="F639" t="str">
            <v>V</v>
          </cell>
          <cell r="G639" t="str">
            <v>BRAVURIS 5HM</v>
          </cell>
          <cell r="H639">
            <v>1542220</v>
          </cell>
          <cell r="I639">
            <v>52469</v>
          </cell>
          <cell r="J639">
            <v>0</v>
          </cell>
          <cell r="K639" t="str">
            <v>P2</v>
          </cell>
          <cell r="L639" t="str">
            <v>RRRYA</v>
          </cell>
          <cell r="M639" t="str">
            <v>R</v>
          </cell>
          <cell r="N639" t="str">
            <v>R</v>
          </cell>
          <cell r="O639" t="str">
            <v>R</v>
          </cell>
          <cell r="P639" t="str">
            <v>Y</v>
          </cell>
          <cell r="Q639" t="str">
            <v>A</v>
          </cell>
          <cell r="R639" t="str">
            <v>-</v>
          </cell>
        </row>
        <row r="640">
          <cell r="A640">
            <v>1542221</v>
          </cell>
          <cell r="B640" t="str">
            <v>-</v>
          </cell>
          <cell r="C640">
            <v>6065</v>
          </cell>
          <cell r="D640" t="str">
            <v>235/50 R19</v>
          </cell>
          <cell r="E640">
            <v>103</v>
          </cell>
          <cell r="F640" t="str">
            <v>V</v>
          </cell>
          <cell r="G640" t="str">
            <v>BRAVURIS 6 XL</v>
          </cell>
          <cell r="H640">
            <v>1542221</v>
          </cell>
          <cell r="I640">
            <v>52465</v>
          </cell>
          <cell r="J640">
            <v>0</v>
          </cell>
          <cell r="K640" t="str">
            <v>P2</v>
          </cell>
          <cell r="L640" t="str">
            <v>RRRWA</v>
          </cell>
          <cell r="M640" t="str">
            <v>R</v>
          </cell>
          <cell r="N640" t="str">
            <v>R</v>
          </cell>
          <cell r="O640" t="str">
            <v>R</v>
          </cell>
          <cell r="P640" t="str">
            <v>W</v>
          </cell>
          <cell r="Q640" t="str">
            <v>A</v>
          </cell>
          <cell r="R640" t="str">
            <v>-</v>
          </cell>
        </row>
        <row r="641">
          <cell r="A641">
            <v>1542226</v>
          </cell>
          <cell r="B641" t="str">
            <v>-</v>
          </cell>
          <cell r="C641">
            <v>58013</v>
          </cell>
          <cell r="D641" t="str">
            <v>255/35 R19</v>
          </cell>
          <cell r="E641">
            <v>96</v>
          </cell>
          <cell r="F641" t="str">
            <v>Y</v>
          </cell>
          <cell r="G641" t="str">
            <v>BRAVURIS 6 XL</v>
          </cell>
          <cell r="H641">
            <v>1542226</v>
          </cell>
          <cell r="I641">
            <v>52127</v>
          </cell>
          <cell r="J641">
            <v>0</v>
          </cell>
          <cell r="K641" t="str">
            <v>P2</v>
          </cell>
          <cell r="L641" t="str">
            <v>GGGGW</v>
          </cell>
          <cell r="M641" t="str">
            <v>G</v>
          </cell>
          <cell r="N641" t="str">
            <v>G</v>
          </cell>
          <cell r="O641" t="str">
            <v>G</v>
          </cell>
          <cell r="P641" t="str">
            <v>G</v>
          </cell>
          <cell r="Q641" t="str">
            <v>W</v>
          </cell>
          <cell r="R641" t="str">
            <v>-</v>
          </cell>
        </row>
        <row r="642">
          <cell r="A642">
            <v>1542242</v>
          </cell>
          <cell r="B642" t="str">
            <v>-</v>
          </cell>
          <cell r="C642">
            <v>4261</v>
          </cell>
          <cell r="D642" t="str">
            <v>195/65 R15</v>
          </cell>
          <cell r="E642">
            <v>95</v>
          </cell>
          <cell r="F642" t="str">
            <v>H</v>
          </cell>
          <cell r="G642" t="str">
            <v>BRAVURIS 6 XL</v>
          </cell>
          <cell r="H642">
            <v>1542242</v>
          </cell>
          <cell r="I642">
            <v>52233</v>
          </cell>
          <cell r="J642">
            <v>0</v>
          </cell>
          <cell r="K642" t="str">
            <v>P2</v>
          </cell>
          <cell r="L642" t="str">
            <v>ORWOY</v>
          </cell>
          <cell r="M642" t="str">
            <v>O</v>
          </cell>
          <cell r="N642" t="str">
            <v>R</v>
          </cell>
          <cell r="O642" t="str">
            <v>W</v>
          </cell>
          <cell r="P642" t="str">
            <v>O</v>
          </cell>
          <cell r="Q642" t="str">
            <v>Y</v>
          </cell>
          <cell r="R642" t="str">
            <v>-</v>
          </cell>
        </row>
        <row r="643">
          <cell r="A643">
            <v>1542259</v>
          </cell>
          <cell r="B643" t="str">
            <v>-</v>
          </cell>
          <cell r="C643">
            <v>3087</v>
          </cell>
          <cell r="D643" t="str">
            <v>215/60 R17</v>
          </cell>
          <cell r="E643">
            <v>96</v>
          </cell>
          <cell r="F643" t="str">
            <v>V</v>
          </cell>
          <cell r="G643" t="str">
            <v>BRAVURIS 5HM</v>
          </cell>
          <cell r="H643">
            <v>1542259</v>
          </cell>
          <cell r="I643">
            <v>52204</v>
          </cell>
          <cell r="J643">
            <v>0</v>
          </cell>
          <cell r="K643" t="str">
            <v>P0</v>
          </cell>
          <cell r="L643" t="str">
            <v>OYYW</v>
          </cell>
          <cell r="M643" t="str">
            <v>O</v>
          </cell>
          <cell r="N643" t="str">
            <v>Y</v>
          </cell>
          <cell r="O643" t="str">
            <v>Y</v>
          </cell>
          <cell r="P643" t="str">
            <v>W</v>
          </cell>
          <cell r="Q643" t="str">
            <v/>
          </cell>
          <cell r="R643" t="str">
            <v>-</v>
          </cell>
        </row>
        <row r="644">
          <cell r="A644">
            <v>1542268</v>
          </cell>
          <cell r="B644" t="str">
            <v>-</v>
          </cell>
          <cell r="C644">
            <v>4062</v>
          </cell>
          <cell r="D644" t="str">
            <v>225/55 R18</v>
          </cell>
          <cell r="E644">
            <v>98</v>
          </cell>
          <cell r="F644" t="str">
            <v>V</v>
          </cell>
          <cell r="G644" t="str">
            <v>BRAVURIS 6</v>
          </cell>
          <cell r="H644">
            <v>1542268</v>
          </cell>
          <cell r="I644">
            <v>52748</v>
          </cell>
          <cell r="J644">
            <v>0</v>
          </cell>
          <cell r="K644" t="str">
            <v>P2</v>
          </cell>
          <cell r="L644" t="str">
            <v>ORAOW</v>
          </cell>
          <cell r="M644" t="str">
            <v>O</v>
          </cell>
          <cell r="N644" t="str">
            <v>R</v>
          </cell>
          <cell r="O644" t="str">
            <v>A</v>
          </cell>
          <cell r="P644" t="str">
            <v>O</v>
          </cell>
          <cell r="Q644" t="str">
            <v>W</v>
          </cell>
          <cell r="R644" t="str">
            <v>-</v>
          </cell>
        </row>
        <row r="645">
          <cell r="A645">
            <v>1549262</v>
          </cell>
          <cell r="B645">
            <v>307</v>
          </cell>
          <cell r="C645">
            <v>5067</v>
          </cell>
          <cell r="D645" t="str">
            <v>205/50 R17</v>
          </cell>
          <cell r="E645">
            <v>93</v>
          </cell>
          <cell r="F645" t="str">
            <v>W</v>
          </cell>
          <cell r="G645" t="str">
            <v>G-MAX RS XL</v>
          </cell>
          <cell r="H645">
            <v>1549262</v>
          </cell>
          <cell r="I645">
            <v>52308</v>
          </cell>
          <cell r="J645">
            <v>0</v>
          </cell>
          <cell r="K645" t="str">
            <v>P4</v>
          </cell>
          <cell r="L645" t="str">
            <v>GRRY</v>
          </cell>
          <cell r="M645" t="str">
            <v>G</v>
          </cell>
          <cell r="N645" t="str">
            <v>R</v>
          </cell>
          <cell r="O645" t="str">
            <v>R</v>
          </cell>
          <cell r="P645" t="str">
            <v>Y</v>
          </cell>
          <cell r="Q645" t="str">
            <v/>
          </cell>
          <cell r="R645" t="str">
            <v>-</v>
          </cell>
        </row>
        <row r="646">
          <cell r="A646">
            <v>1549264</v>
          </cell>
          <cell r="B646">
            <v>75</v>
          </cell>
          <cell r="C646">
            <v>5064</v>
          </cell>
          <cell r="D646" t="str">
            <v>215/50 R17</v>
          </cell>
          <cell r="E646">
            <v>95</v>
          </cell>
          <cell r="F646" t="str">
            <v>W</v>
          </cell>
          <cell r="G646" t="str">
            <v>G-MAX RS XL</v>
          </cell>
          <cell r="H646">
            <v>1549264</v>
          </cell>
          <cell r="I646">
            <v>52071</v>
          </cell>
          <cell r="J646">
            <v>0</v>
          </cell>
          <cell r="K646" t="str">
            <v>P4</v>
          </cell>
          <cell r="L646" t="str">
            <v>WWGAA</v>
          </cell>
          <cell r="M646" t="str">
            <v>W</v>
          </cell>
          <cell r="N646" t="str">
            <v>W</v>
          </cell>
          <cell r="O646" t="str">
            <v>G</v>
          </cell>
          <cell r="P646" t="str">
            <v>A</v>
          </cell>
          <cell r="Q646" t="str">
            <v>A</v>
          </cell>
          <cell r="R646" t="str">
            <v>-</v>
          </cell>
        </row>
        <row r="647">
          <cell r="A647">
            <v>1549265</v>
          </cell>
          <cell r="B647">
            <v>474</v>
          </cell>
          <cell r="C647">
            <v>58038</v>
          </cell>
          <cell r="D647" t="str">
            <v>225/45 R17</v>
          </cell>
          <cell r="E647">
            <v>91</v>
          </cell>
          <cell r="F647" t="str">
            <v>W</v>
          </cell>
          <cell r="G647" t="str">
            <v>G-MAX RS</v>
          </cell>
          <cell r="H647">
            <v>1549265</v>
          </cell>
          <cell r="I647">
            <v>52472</v>
          </cell>
          <cell r="J647">
            <v>0</v>
          </cell>
          <cell r="K647" t="str">
            <v>P4</v>
          </cell>
          <cell r="L647" t="str">
            <v>YYYGA</v>
          </cell>
          <cell r="M647" t="str">
            <v>Y</v>
          </cell>
          <cell r="N647" t="str">
            <v>Y</v>
          </cell>
          <cell r="O647" t="str">
            <v>Y</v>
          </cell>
          <cell r="P647" t="str">
            <v>G</v>
          </cell>
          <cell r="Q647" t="str">
            <v>A</v>
          </cell>
          <cell r="R647" t="str">
            <v>-</v>
          </cell>
        </row>
        <row r="648">
          <cell r="A648">
            <v>1549266</v>
          </cell>
          <cell r="B648">
            <v>851</v>
          </cell>
          <cell r="C648">
            <v>3012</v>
          </cell>
          <cell r="D648" t="str">
            <v>225/50 R17</v>
          </cell>
          <cell r="E648">
            <v>94</v>
          </cell>
          <cell r="F648" t="str">
            <v>W</v>
          </cell>
          <cell r="G648" t="str">
            <v>G-MAX RS</v>
          </cell>
          <cell r="H648">
            <v>1549266</v>
          </cell>
          <cell r="I648">
            <v>52851</v>
          </cell>
          <cell r="J648">
            <v>0</v>
          </cell>
          <cell r="K648" t="str">
            <v>P4</v>
          </cell>
          <cell r="L648" t="str">
            <v>GGGAR</v>
          </cell>
          <cell r="M648" t="str">
            <v>G</v>
          </cell>
          <cell r="N648" t="str">
            <v>G</v>
          </cell>
          <cell r="O648" t="str">
            <v>G</v>
          </cell>
          <cell r="P648" t="str">
            <v>A</v>
          </cell>
          <cell r="Q648" t="str">
            <v>R</v>
          </cell>
          <cell r="R648" t="str">
            <v>-</v>
          </cell>
        </row>
        <row r="649">
          <cell r="A649">
            <v>1549269</v>
          </cell>
          <cell r="B649">
            <v>37</v>
          </cell>
          <cell r="C649">
            <v>58033</v>
          </cell>
          <cell r="D649" t="str">
            <v>245/40 R17</v>
          </cell>
          <cell r="E649">
            <v>91</v>
          </cell>
          <cell r="F649" t="str">
            <v>W</v>
          </cell>
          <cell r="G649" t="str">
            <v>G-MAX RS</v>
          </cell>
          <cell r="H649">
            <v>1549269</v>
          </cell>
          <cell r="I649">
            <v>52037</v>
          </cell>
          <cell r="J649">
            <v>0</v>
          </cell>
          <cell r="K649" t="str">
            <v>P4</v>
          </cell>
          <cell r="L649" t="str">
            <v>AAAOO</v>
          </cell>
          <cell r="M649" t="str">
            <v>A</v>
          </cell>
          <cell r="N649" t="str">
            <v>A</v>
          </cell>
          <cell r="O649" t="str">
            <v>A</v>
          </cell>
          <cell r="P649" t="str">
            <v>O</v>
          </cell>
          <cell r="Q649" t="str">
            <v>O</v>
          </cell>
          <cell r="R649" t="str">
            <v>-</v>
          </cell>
        </row>
        <row r="650">
          <cell r="A650">
            <v>1549278</v>
          </cell>
          <cell r="B650">
            <v>437</v>
          </cell>
          <cell r="C650">
            <v>2029</v>
          </cell>
          <cell r="D650" t="str">
            <v>235/50 R18</v>
          </cell>
          <cell r="E650">
            <v>97</v>
          </cell>
          <cell r="F650" t="str">
            <v>Y</v>
          </cell>
          <cell r="G650" t="str">
            <v>G-MAX RS</v>
          </cell>
          <cell r="H650">
            <v>1549278</v>
          </cell>
          <cell r="I650">
            <v>52435</v>
          </cell>
          <cell r="J650">
            <v>0</v>
          </cell>
          <cell r="K650" t="str">
            <v>P4</v>
          </cell>
          <cell r="L650" t="str">
            <v>YYY</v>
          </cell>
          <cell r="M650" t="str">
            <v>Y</v>
          </cell>
          <cell r="N650" t="str">
            <v>Y</v>
          </cell>
          <cell r="O650" t="str">
            <v>Y</v>
          </cell>
          <cell r="P650" t="str">
            <v/>
          </cell>
          <cell r="Q650" t="str">
            <v/>
          </cell>
          <cell r="R650" t="str">
            <v>-</v>
          </cell>
        </row>
        <row r="651">
          <cell r="A651">
            <v>1549284</v>
          </cell>
          <cell r="B651">
            <v>170</v>
          </cell>
          <cell r="C651">
            <v>6</v>
          </cell>
          <cell r="D651" t="str">
            <v>255/40 R18</v>
          </cell>
          <cell r="E651">
            <v>99</v>
          </cell>
          <cell r="F651" t="str">
            <v>Y</v>
          </cell>
          <cell r="G651" t="str">
            <v>G-MAX RS XL</v>
          </cell>
          <cell r="H651">
            <v>1549284</v>
          </cell>
          <cell r="I651">
            <v>52170</v>
          </cell>
          <cell r="J651">
            <v>0</v>
          </cell>
          <cell r="K651" t="str">
            <v>P4</v>
          </cell>
          <cell r="L651" t="str">
            <v>RGGGG</v>
          </cell>
          <cell r="M651" t="str">
            <v>R</v>
          </cell>
          <cell r="N651" t="str">
            <v>G</v>
          </cell>
          <cell r="O651" t="str">
            <v>G</v>
          </cell>
          <cell r="P651" t="str">
            <v>G</v>
          </cell>
          <cell r="Q651" t="str">
            <v>G</v>
          </cell>
          <cell r="R651" t="str">
            <v>-</v>
          </cell>
        </row>
        <row r="652">
          <cell r="A652">
            <v>1549559</v>
          </cell>
          <cell r="B652">
            <v>829</v>
          </cell>
          <cell r="C652">
            <v>5047</v>
          </cell>
          <cell r="D652" t="str">
            <v>185/60 R15</v>
          </cell>
          <cell r="E652">
            <v>84</v>
          </cell>
          <cell r="F652" t="str">
            <v>T</v>
          </cell>
          <cell r="G652" t="str">
            <v>CPROC TX</v>
          </cell>
          <cell r="H652">
            <v>1549559</v>
          </cell>
          <cell r="I652">
            <v>52939</v>
          </cell>
          <cell r="J652">
            <v>0</v>
          </cell>
          <cell r="K652" t="str">
            <v>P4</v>
          </cell>
          <cell r="L652" t="str">
            <v>YAAWA</v>
          </cell>
          <cell r="M652" t="str">
            <v>Y</v>
          </cell>
          <cell r="N652" t="str">
            <v>A</v>
          </cell>
          <cell r="O652" t="str">
            <v>A</v>
          </cell>
          <cell r="P652" t="str">
            <v>W</v>
          </cell>
          <cell r="Q652" t="str">
            <v>A</v>
          </cell>
          <cell r="R652" t="str">
            <v>-</v>
          </cell>
        </row>
        <row r="653">
          <cell r="A653">
            <v>1549560</v>
          </cell>
          <cell r="B653">
            <v>545</v>
          </cell>
          <cell r="C653">
            <v>2050</v>
          </cell>
          <cell r="D653" t="str">
            <v>165/65 R15</v>
          </cell>
          <cell r="E653">
            <v>81</v>
          </cell>
          <cell r="F653" t="str">
            <v>T</v>
          </cell>
          <cell r="G653" t="str">
            <v>CPROC TX</v>
          </cell>
          <cell r="H653">
            <v>1549560</v>
          </cell>
          <cell r="I653">
            <v>52845</v>
          </cell>
          <cell r="J653">
            <v>0</v>
          </cell>
          <cell r="K653" t="str">
            <v>P4</v>
          </cell>
          <cell r="L653" t="str">
            <v>OOO</v>
          </cell>
          <cell r="M653" t="str">
            <v>O</v>
          </cell>
          <cell r="N653" t="str">
            <v>O</v>
          </cell>
          <cell r="O653" t="str">
            <v>O</v>
          </cell>
          <cell r="P653" t="str">
            <v/>
          </cell>
          <cell r="Q653" t="str">
            <v/>
          </cell>
          <cell r="R653" t="str">
            <v>-</v>
          </cell>
        </row>
        <row r="654">
          <cell r="A654">
            <v>1549668</v>
          </cell>
          <cell r="B654">
            <v>191</v>
          </cell>
          <cell r="C654">
            <v>5148</v>
          </cell>
          <cell r="D654" t="str">
            <v>185/50 R16</v>
          </cell>
          <cell r="E654">
            <v>81</v>
          </cell>
          <cell r="F654" t="str">
            <v>H</v>
          </cell>
          <cell r="G654" t="str">
            <v>CPROC TX</v>
          </cell>
          <cell r="H654">
            <v>1549668</v>
          </cell>
          <cell r="I654">
            <v>52191</v>
          </cell>
          <cell r="J654">
            <v>0</v>
          </cell>
          <cell r="K654" t="str">
            <v>P4</v>
          </cell>
          <cell r="L654" t="str">
            <v>AAAWA</v>
          </cell>
          <cell r="M654" t="str">
            <v>A</v>
          </cell>
          <cell r="N654" t="str">
            <v>A</v>
          </cell>
          <cell r="O654" t="str">
            <v>A</v>
          </cell>
          <cell r="P654" t="str">
            <v>W</v>
          </cell>
          <cell r="Q654" t="str">
            <v>A</v>
          </cell>
          <cell r="R654" t="str">
            <v>-</v>
          </cell>
        </row>
        <row r="655">
          <cell r="A655">
            <v>1549923</v>
          </cell>
          <cell r="B655">
            <v>717</v>
          </cell>
          <cell r="C655">
            <v>6023</v>
          </cell>
          <cell r="D655" t="str">
            <v>235/50 R19</v>
          </cell>
          <cell r="E655">
            <v>99</v>
          </cell>
          <cell r="F655" t="str">
            <v>H</v>
          </cell>
          <cell r="G655" t="str">
            <v>CPROC TX</v>
          </cell>
          <cell r="H655">
            <v>1549923</v>
          </cell>
          <cell r="I655">
            <v>52718</v>
          </cell>
          <cell r="J655">
            <v>2</v>
          </cell>
          <cell r="K655" t="str">
            <v>P4</v>
          </cell>
          <cell r="L655" t="str">
            <v>WRYGO</v>
          </cell>
          <cell r="M655" t="str">
            <v>W</v>
          </cell>
          <cell r="N655" t="str">
            <v>R</v>
          </cell>
          <cell r="O655" t="str">
            <v>Y</v>
          </cell>
          <cell r="P655" t="str">
            <v>G</v>
          </cell>
          <cell r="Q655" t="str">
            <v>O</v>
          </cell>
          <cell r="R655" t="str">
            <v>-</v>
          </cell>
        </row>
        <row r="656">
          <cell r="A656">
            <v>1550276</v>
          </cell>
          <cell r="B656" t="str">
            <v>-</v>
          </cell>
          <cell r="C656">
            <v>20120</v>
          </cell>
          <cell r="D656" t="str">
            <v>195/65 R15</v>
          </cell>
          <cell r="E656">
            <v>95</v>
          </cell>
          <cell r="F656" t="str">
            <v>T</v>
          </cell>
          <cell r="G656" t="str">
            <v>ALTIMAX ARTIC 12 XL</v>
          </cell>
          <cell r="H656">
            <v>1550276</v>
          </cell>
          <cell r="I656">
            <v>52234</v>
          </cell>
          <cell r="J656">
            <v>0</v>
          </cell>
          <cell r="K656" t="str">
            <v>P2</v>
          </cell>
          <cell r="L656" t="str">
            <v>RGO</v>
          </cell>
          <cell r="M656" t="str">
            <v>R</v>
          </cell>
          <cell r="N656" t="str">
            <v>G</v>
          </cell>
          <cell r="O656" t="str">
            <v>O</v>
          </cell>
          <cell r="P656" t="str">
            <v/>
          </cell>
          <cell r="Q656" t="str">
            <v/>
          </cell>
          <cell r="R656" t="str">
            <v>-</v>
          </cell>
        </row>
        <row r="657">
          <cell r="A657">
            <v>1550278</v>
          </cell>
          <cell r="B657" t="str">
            <v>-</v>
          </cell>
          <cell r="C657">
            <v>20041</v>
          </cell>
          <cell r="D657" t="str">
            <v>195/60 R15</v>
          </cell>
          <cell r="E657">
            <v>92</v>
          </cell>
          <cell r="F657" t="str">
            <v>T</v>
          </cell>
          <cell r="G657" t="str">
            <v>ALTIMAX ARTIC 12 XL</v>
          </cell>
          <cell r="H657">
            <v>1550278</v>
          </cell>
          <cell r="I657">
            <v>52401</v>
          </cell>
          <cell r="J657">
            <v>0</v>
          </cell>
          <cell r="K657" t="str">
            <v>P2</v>
          </cell>
          <cell r="L657" t="str">
            <v>GG</v>
          </cell>
          <cell r="M657" t="str">
            <v>G</v>
          </cell>
          <cell r="N657" t="str">
            <v>G</v>
          </cell>
          <cell r="O657" t="str">
            <v/>
          </cell>
          <cell r="P657" t="str">
            <v/>
          </cell>
          <cell r="Q657" t="str">
            <v/>
          </cell>
          <cell r="R657" t="str">
            <v>-</v>
          </cell>
        </row>
        <row r="658">
          <cell r="A658">
            <v>1550280</v>
          </cell>
          <cell r="B658" t="str">
            <v>-</v>
          </cell>
          <cell r="C658">
            <v>20106</v>
          </cell>
          <cell r="D658" t="str">
            <v>185/65 R15</v>
          </cell>
          <cell r="E658">
            <v>92</v>
          </cell>
          <cell r="F658" t="str">
            <v>T</v>
          </cell>
          <cell r="G658" t="str">
            <v>ALTIMAX ARTIC 12 XL</v>
          </cell>
          <cell r="H658">
            <v>1550280</v>
          </cell>
          <cell r="I658">
            <v>52262</v>
          </cell>
          <cell r="J658">
            <v>0</v>
          </cell>
          <cell r="K658" t="str">
            <v>P2</v>
          </cell>
          <cell r="L658" t="str">
            <v>GR</v>
          </cell>
          <cell r="M658" t="str">
            <v>G</v>
          </cell>
          <cell r="N658" t="str">
            <v>R</v>
          </cell>
          <cell r="O658" t="str">
            <v/>
          </cell>
          <cell r="P658" t="str">
            <v/>
          </cell>
          <cell r="Q658" t="str">
            <v/>
          </cell>
          <cell r="R658" t="str">
            <v>-</v>
          </cell>
        </row>
        <row r="659">
          <cell r="A659">
            <v>1550281</v>
          </cell>
          <cell r="B659" t="str">
            <v>-</v>
          </cell>
          <cell r="C659">
            <v>20110</v>
          </cell>
          <cell r="D659" t="str">
            <v>215/70 R16</v>
          </cell>
          <cell r="E659">
            <v>104</v>
          </cell>
          <cell r="F659" t="str">
            <v>T</v>
          </cell>
          <cell r="G659" t="str">
            <v>ALTIMAX ARTIC 12 XL</v>
          </cell>
          <cell r="H659">
            <v>1550281</v>
          </cell>
          <cell r="I659">
            <v>52463</v>
          </cell>
          <cell r="J659">
            <v>0</v>
          </cell>
          <cell r="K659" t="str">
            <v>P2</v>
          </cell>
          <cell r="L659" t="str">
            <v>GR</v>
          </cell>
          <cell r="M659" t="str">
            <v>G</v>
          </cell>
          <cell r="N659" t="str">
            <v>R</v>
          </cell>
          <cell r="O659" t="str">
            <v/>
          </cell>
          <cell r="P659" t="str">
            <v/>
          </cell>
          <cell r="Q659" t="str">
            <v/>
          </cell>
          <cell r="R659" t="str">
            <v>-</v>
          </cell>
        </row>
        <row r="660">
          <cell r="A660">
            <v>1550285</v>
          </cell>
          <cell r="B660" t="str">
            <v>-</v>
          </cell>
          <cell r="C660">
            <v>20325</v>
          </cell>
          <cell r="D660" t="str">
            <v>215/65 R16</v>
          </cell>
          <cell r="E660">
            <v>102</v>
          </cell>
          <cell r="F660" t="str">
            <v>T</v>
          </cell>
          <cell r="G660" t="str">
            <v>ALTIMAX ARTIC 12 XL</v>
          </cell>
          <cell r="H660">
            <v>1550285</v>
          </cell>
          <cell r="I660">
            <v>52391</v>
          </cell>
          <cell r="J660">
            <v>0</v>
          </cell>
          <cell r="K660" t="str">
            <v>P7</v>
          </cell>
          <cell r="L660" t="str">
            <v>OG</v>
          </cell>
          <cell r="M660" t="str">
            <v>O</v>
          </cell>
          <cell r="N660" t="str">
            <v>G</v>
          </cell>
          <cell r="O660" t="str">
            <v/>
          </cell>
          <cell r="P660" t="str">
            <v/>
          </cell>
          <cell r="Q660" t="str">
            <v/>
          </cell>
          <cell r="R660" t="str">
            <v>-</v>
          </cell>
        </row>
        <row r="661">
          <cell r="A661">
            <v>1550289</v>
          </cell>
          <cell r="B661" t="str">
            <v>-</v>
          </cell>
          <cell r="C661">
            <v>20125</v>
          </cell>
          <cell r="D661" t="str">
            <v>205/50 R17</v>
          </cell>
          <cell r="E661">
            <v>93</v>
          </cell>
          <cell r="F661" t="str">
            <v>T</v>
          </cell>
          <cell r="G661" t="str">
            <v>ALTIMAX ARTIC 12 XL</v>
          </cell>
          <cell r="H661">
            <v>1550289</v>
          </cell>
          <cell r="I661">
            <v>52107</v>
          </cell>
          <cell r="J661">
            <v>0</v>
          </cell>
          <cell r="K661" t="str">
            <v>P2</v>
          </cell>
          <cell r="L661" t="str">
            <v>RRO</v>
          </cell>
          <cell r="M661" t="str">
            <v>R</v>
          </cell>
          <cell r="N661" t="str">
            <v>R</v>
          </cell>
          <cell r="O661" t="str">
            <v>O</v>
          </cell>
          <cell r="P661" t="str">
            <v/>
          </cell>
          <cell r="Q661" t="str">
            <v/>
          </cell>
          <cell r="R661" t="str">
            <v>-</v>
          </cell>
        </row>
        <row r="662">
          <cell r="A662">
            <v>1550290</v>
          </cell>
          <cell r="B662" t="str">
            <v>-</v>
          </cell>
          <cell r="C662">
            <v>20023</v>
          </cell>
          <cell r="D662" t="str">
            <v>215/55 R16</v>
          </cell>
          <cell r="E662">
            <v>97</v>
          </cell>
          <cell r="F662" t="str">
            <v>T</v>
          </cell>
          <cell r="G662" t="str">
            <v>ALTIMAX ARTIC 12 XL</v>
          </cell>
          <cell r="H662">
            <v>1550290</v>
          </cell>
          <cell r="I662">
            <v>52630</v>
          </cell>
          <cell r="J662">
            <v>0</v>
          </cell>
          <cell r="K662" t="str">
            <v>P2</v>
          </cell>
          <cell r="L662" t="str">
            <v>GGG</v>
          </cell>
          <cell r="M662" t="str">
            <v>G</v>
          </cell>
          <cell r="N662" t="str">
            <v>G</v>
          </cell>
          <cell r="O662" t="str">
            <v>G</v>
          </cell>
          <cell r="P662" t="str">
            <v/>
          </cell>
          <cell r="Q662" t="str">
            <v/>
          </cell>
          <cell r="R662" t="str">
            <v>-</v>
          </cell>
        </row>
        <row r="663">
          <cell r="A663">
            <v>1550293</v>
          </cell>
          <cell r="B663" t="str">
            <v>-</v>
          </cell>
          <cell r="C663">
            <v>20220</v>
          </cell>
          <cell r="D663" t="str">
            <v>185/60 R15</v>
          </cell>
          <cell r="E663">
            <v>88</v>
          </cell>
          <cell r="F663" t="str">
            <v>T</v>
          </cell>
          <cell r="G663" t="str">
            <v>ALTIMAX ARTIC 12 XL</v>
          </cell>
          <cell r="H663">
            <v>1550293</v>
          </cell>
          <cell r="I663">
            <v>52278</v>
          </cell>
          <cell r="J663">
            <v>0</v>
          </cell>
          <cell r="K663" t="str">
            <v>P2</v>
          </cell>
          <cell r="L663" t="str">
            <v>GO</v>
          </cell>
          <cell r="M663" t="str">
            <v>G</v>
          </cell>
          <cell r="N663" t="str">
            <v>O</v>
          </cell>
          <cell r="O663" t="str">
            <v/>
          </cell>
          <cell r="P663" t="str">
            <v/>
          </cell>
          <cell r="Q663" t="str">
            <v/>
          </cell>
          <cell r="R663" t="str">
            <v>-</v>
          </cell>
        </row>
        <row r="664">
          <cell r="A664">
            <v>1550294</v>
          </cell>
          <cell r="B664" t="str">
            <v>-</v>
          </cell>
          <cell r="C664">
            <v>20114</v>
          </cell>
          <cell r="D664" t="str">
            <v>235/55 R17</v>
          </cell>
          <cell r="E664">
            <v>103</v>
          </cell>
          <cell r="F664" t="str">
            <v>T</v>
          </cell>
          <cell r="G664" t="str">
            <v>ALTIMAX ARTIC 12 XL</v>
          </cell>
          <cell r="H664">
            <v>1550294</v>
          </cell>
          <cell r="I664">
            <v>52115</v>
          </cell>
          <cell r="J664">
            <v>0</v>
          </cell>
          <cell r="K664" t="str">
            <v>P2</v>
          </cell>
          <cell r="L664" t="str">
            <v>GGR</v>
          </cell>
          <cell r="M664" t="str">
            <v>G</v>
          </cell>
          <cell r="N664" t="str">
            <v>G</v>
          </cell>
          <cell r="O664" t="str">
            <v>R</v>
          </cell>
          <cell r="P664" t="str">
            <v/>
          </cell>
          <cell r="Q664" t="str">
            <v/>
          </cell>
          <cell r="R664" t="str">
            <v>-</v>
          </cell>
        </row>
        <row r="665">
          <cell r="A665">
            <v>1550297</v>
          </cell>
          <cell r="B665" t="str">
            <v>-</v>
          </cell>
          <cell r="C665">
            <v>20104</v>
          </cell>
          <cell r="D665" t="str">
            <v>205/65 R16</v>
          </cell>
          <cell r="E665">
            <v>99</v>
          </cell>
          <cell r="F665" t="str">
            <v>T</v>
          </cell>
          <cell r="G665" t="str">
            <v>ALTIMAX ARTIC 12 XL</v>
          </cell>
          <cell r="H665">
            <v>1550297</v>
          </cell>
          <cell r="I665">
            <v>52281</v>
          </cell>
          <cell r="J665">
            <v>0</v>
          </cell>
          <cell r="K665" t="str">
            <v>P2</v>
          </cell>
          <cell r="L665" t="str">
            <v>GOG</v>
          </cell>
          <cell r="M665" t="str">
            <v>G</v>
          </cell>
          <cell r="N665" t="str">
            <v>O</v>
          </cell>
          <cell r="O665" t="str">
            <v>G</v>
          </cell>
          <cell r="P665" t="str">
            <v/>
          </cell>
          <cell r="Q665" t="str">
            <v/>
          </cell>
          <cell r="R665" t="str">
            <v>-</v>
          </cell>
        </row>
        <row r="666">
          <cell r="A666">
            <v>1550305</v>
          </cell>
          <cell r="B666" t="str">
            <v>-</v>
          </cell>
          <cell r="C666">
            <v>20123</v>
          </cell>
          <cell r="D666" t="str">
            <v>215/50 R17</v>
          </cell>
          <cell r="E666">
            <v>95</v>
          </cell>
          <cell r="F666" t="str">
            <v>T</v>
          </cell>
          <cell r="G666" t="str">
            <v>ALTIMAX ARTIC 12 XL</v>
          </cell>
          <cell r="H666">
            <v>1550305</v>
          </cell>
          <cell r="I666">
            <v>52295</v>
          </cell>
          <cell r="J666">
            <v>0</v>
          </cell>
          <cell r="K666" t="str">
            <v>P2</v>
          </cell>
          <cell r="L666" t="str">
            <v>RGG</v>
          </cell>
          <cell r="M666" t="str">
            <v>R</v>
          </cell>
          <cell r="N666" t="str">
            <v>G</v>
          </cell>
          <cell r="O666" t="str">
            <v>G</v>
          </cell>
          <cell r="P666" t="str">
            <v/>
          </cell>
          <cell r="Q666" t="str">
            <v/>
          </cell>
          <cell r="R666" t="str">
            <v>-</v>
          </cell>
        </row>
        <row r="667">
          <cell r="A667">
            <v>1550311</v>
          </cell>
          <cell r="B667" t="str">
            <v>-</v>
          </cell>
          <cell r="C667">
            <v>20117</v>
          </cell>
          <cell r="D667" t="str">
            <v>175/65 R15</v>
          </cell>
          <cell r="E667">
            <v>88</v>
          </cell>
          <cell r="F667" t="str">
            <v>T</v>
          </cell>
          <cell r="G667" t="str">
            <v>ALTIMAX ARTIC 12 XL</v>
          </cell>
          <cell r="H667">
            <v>1550311</v>
          </cell>
          <cell r="I667">
            <v>52493</v>
          </cell>
          <cell r="J667">
            <v>0</v>
          </cell>
          <cell r="K667" t="str">
            <v>P2</v>
          </cell>
          <cell r="L667" t="str">
            <v>GGR</v>
          </cell>
          <cell r="M667" t="str">
            <v>G</v>
          </cell>
          <cell r="N667" t="str">
            <v>G</v>
          </cell>
          <cell r="O667" t="str">
            <v>R</v>
          </cell>
          <cell r="P667" t="str">
            <v/>
          </cell>
          <cell r="Q667" t="str">
            <v/>
          </cell>
          <cell r="R667" t="str">
            <v>-</v>
          </cell>
        </row>
        <row r="668">
          <cell r="A668">
            <v>1550797</v>
          </cell>
          <cell r="B668">
            <v>290</v>
          </cell>
          <cell r="C668">
            <v>7</v>
          </cell>
          <cell r="D668" t="str">
            <v>205/45 R16</v>
          </cell>
          <cell r="E668">
            <v>83</v>
          </cell>
          <cell r="F668" t="str">
            <v>H</v>
          </cell>
          <cell r="G668" t="str">
            <v>CPROC TX</v>
          </cell>
          <cell r="H668">
            <v>1550797</v>
          </cell>
          <cell r="I668">
            <v>52294</v>
          </cell>
          <cell r="J668">
            <v>0</v>
          </cell>
          <cell r="K668" t="str">
            <v>P4</v>
          </cell>
          <cell r="L668" t="str">
            <v>AGGOY</v>
          </cell>
          <cell r="M668" t="str">
            <v>A</v>
          </cell>
          <cell r="N668" t="str">
            <v>G</v>
          </cell>
          <cell r="O668" t="str">
            <v>G</v>
          </cell>
          <cell r="P668" t="str">
            <v>O</v>
          </cell>
          <cell r="Q668" t="str">
            <v>Y</v>
          </cell>
          <cell r="R668" t="str">
            <v>-</v>
          </cell>
        </row>
        <row r="669">
          <cell r="A669">
            <v>1553549</v>
          </cell>
          <cell r="B669">
            <v>475</v>
          </cell>
          <cell r="C669">
            <v>6075</v>
          </cell>
          <cell r="D669" t="str">
            <v>185/65 R15</v>
          </cell>
          <cell r="E669">
            <v>88</v>
          </cell>
          <cell r="F669" t="str">
            <v>T</v>
          </cell>
          <cell r="G669" t="str">
            <v>RP70</v>
          </cell>
          <cell r="H669">
            <v>1553549</v>
          </cell>
          <cell r="I669">
            <v>52474</v>
          </cell>
          <cell r="J669">
            <v>0</v>
          </cell>
          <cell r="K669" t="str">
            <v>P4</v>
          </cell>
          <cell r="L669" t="str">
            <v>AYWG</v>
          </cell>
          <cell r="M669" t="str">
            <v>A</v>
          </cell>
          <cell r="N669" t="str">
            <v>Y</v>
          </cell>
          <cell r="O669" t="str">
            <v>W</v>
          </cell>
          <cell r="P669" t="str">
            <v>G</v>
          </cell>
          <cell r="Q669" t="str">
            <v/>
          </cell>
          <cell r="R669" t="str">
            <v>-</v>
          </cell>
        </row>
        <row r="670">
          <cell r="A670">
            <v>1553563</v>
          </cell>
          <cell r="B670" t="str">
            <v>-</v>
          </cell>
          <cell r="C670">
            <v>5026</v>
          </cell>
          <cell r="D670" t="str">
            <v>225/55 R17</v>
          </cell>
          <cell r="E670">
            <v>101</v>
          </cell>
          <cell r="F670" t="str">
            <v>V</v>
          </cell>
          <cell r="G670" t="str">
            <v>RP70 PLATIN XL</v>
          </cell>
          <cell r="H670">
            <v>1553563</v>
          </cell>
          <cell r="I670">
            <v>52622</v>
          </cell>
          <cell r="J670">
            <v>0</v>
          </cell>
          <cell r="K670" t="str">
            <v>P4</v>
          </cell>
          <cell r="L670" t="str">
            <v>AAOA</v>
          </cell>
          <cell r="M670" t="str">
            <v>A</v>
          </cell>
          <cell r="N670" t="str">
            <v>A</v>
          </cell>
          <cell r="O670" t="str">
            <v>O</v>
          </cell>
          <cell r="P670" t="str">
            <v>A</v>
          </cell>
          <cell r="Q670" t="str">
            <v/>
          </cell>
          <cell r="R670" t="str">
            <v>-</v>
          </cell>
        </row>
        <row r="671">
          <cell r="A671">
            <v>1553564</v>
          </cell>
          <cell r="B671">
            <v>644</v>
          </cell>
          <cell r="C671">
            <v>4029</v>
          </cell>
          <cell r="D671" t="str">
            <v>215/55 R17</v>
          </cell>
          <cell r="E671">
            <v>98</v>
          </cell>
          <cell r="F671" t="str">
            <v>V</v>
          </cell>
          <cell r="G671" t="str">
            <v>RP70 WINTER XL</v>
          </cell>
          <cell r="H671">
            <v>1553564</v>
          </cell>
          <cell r="I671">
            <v>52644</v>
          </cell>
          <cell r="J671">
            <v>0</v>
          </cell>
          <cell r="K671" t="str">
            <v>P4</v>
          </cell>
          <cell r="L671" t="str">
            <v>AROAY</v>
          </cell>
          <cell r="M671" t="str">
            <v>A</v>
          </cell>
          <cell r="N671" t="str">
            <v>R</v>
          </cell>
          <cell r="O671" t="str">
            <v>O</v>
          </cell>
          <cell r="P671" t="str">
            <v>A</v>
          </cell>
          <cell r="Q671" t="str">
            <v>Y</v>
          </cell>
          <cell r="R671" t="str">
            <v>-</v>
          </cell>
        </row>
        <row r="672">
          <cell r="A672">
            <v>1553571</v>
          </cell>
          <cell r="B672" t="str">
            <v>-</v>
          </cell>
          <cell r="C672">
            <v>58130</v>
          </cell>
          <cell r="D672" t="str">
            <v>225/40 R18</v>
          </cell>
          <cell r="E672">
            <v>92</v>
          </cell>
          <cell r="F672" t="str">
            <v>V</v>
          </cell>
          <cell r="G672" t="str">
            <v>RP70 XL</v>
          </cell>
          <cell r="H672">
            <v>1553571</v>
          </cell>
          <cell r="I672">
            <v>52649</v>
          </cell>
          <cell r="J672">
            <v>0</v>
          </cell>
          <cell r="K672" t="str">
            <v>P0</v>
          </cell>
          <cell r="L672" t="str">
            <v>RWW</v>
          </cell>
          <cell r="M672" t="str">
            <v>R</v>
          </cell>
          <cell r="N672" t="str">
            <v>W</v>
          </cell>
          <cell r="O672" t="str">
            <v>W</v>
          </cell>
          <cell r="P672" t="str">
            <v/>
          </cell>
          <cell r="Q672" t="str">
            <v/>
          </cell>
          <cell r="R672" t="str">
            <v>-</v>
          </cell>
        </row>
        <row r="673">
          <cell r="A673">
            <v>1553580</v>
          </cell>
          <cell r="B673" t="str">
            <v>-</v>
          </cell>
          <cell r="C673">
            <v>58300</v>
          </cell>
          <cell r="D673" t="str">
            <v>205/45 R17</v>
          </cell>
          <cell r="E673">
            <v>88</v>
          </cell>
          <cell r="F673" t="str">
            <v>V</v>
          </cell>
          <cell r="G673" t="str">
            <v>RP70 WINTER XL</v>
          </cell>
          <cell r="H673">
            <v>1553580</v>
          </cell>
          <cell r="I673">
            <v>52032</v>
          </cell>
          <cell r="J673">
            <v>0</v>
          </cell>
          <cell r="K673" t="str">
            <v>P4</v>
          </cell>
          <cell r="L673" t="str">
            <v>YYYWO</v>
          </cell>
          <cell r="M673" t="str">
            <v>Y</v>
          </cell>
          <cell r="N673" t="str">
            <v>Y</v>
          </cell>
          <cell r="O673" t="str">
            <v>Y</v>
          </cell>
          <cell r="P673" t="str">
            <v>W</v>
          </cell>
          <cell r="Q673" t="str">
            <v>O</v>
          </cell>
          <cell r="R673" t="str">
            <v>-</v>
          </cell>
        </row>
        <row r="674">
          <cell r="A674">
            <v>1553627</v>
          </cell>
          <cell r="B674">
            <v>665</v>
          </cell>
          <cell r="C674">
            <v>4129</v>
          </cell>
          <cell r="D674" t="str">
            <v>215/55 R17</v>
          </cell>
          <cell r="E674">
            <v>98</v>
          </cell>
          <cell r="F674" t="str">
            <v>V</v>
          </cell>
          <cell r="G674" t="str">
            <v>SNOWWIN 3 XL</v>
          </cell>
          <cell r="H674">
            <v>1553627</v>
          </cell>
          <cell r="I674">
            <v>52671</v>
          </cell>
          <cell r="J674">
            <v>0</v>
          </cell>
          <cell r="K674" t="str">
            <v>P4</v>
          </cell>
          <cell r="L674" t="str">
            <v>YYRWR</v>
          </cell>
          <cell r="M674" t="str">
            <v>Y</v>
          </cell>
          <cell r="N674" t="str">
            <v>Y</v>
          </cell>
          <cell r="O674" t="str">
            <v>R</v>
          </cell>
          <cell r="P674" t="str">
            <v>W</v>
          </cell>
          <cell r="Q674" t="str">
            <v>R</v>
          </cell>
          <cell r="R674" t="str">
            <v>-</v>
          </cell>
        </row>
        <row r="675">
          <cell r="A675">
            <v>1553633</v>
          </cell>
          <cell r="B675" t="str">
            <v>-</v>
          </cell>
          <cell r="C675">
            <v>58130</v>
          </cell>
          <cell r="D675" t="str">
            <v>225/40 R18</v>
          </cell>
          <cell r="E675">
            <v>92</v>
          </cell>
          <cell r="F675" t="str">
            <v>V</v>
          </cell>
          <cell r="G675" t="str">
            <v>SNOWWIN 3 XL</v>
          </cell>
          <cell r="H675">
            <v>1553633</v>
          </cell>
          <cell r="I675">
            <v>52649</v>
          </cell>
          <cell r="J675">
            <v>0</v>
          </cell>
          <cell r="K675" t="str">
            <v>P0</v>
          </cell>
          <cell r="L675" t="str">
            <v>RWW</v>
          </cell>
          <cell r="M675" t="str">
            <v>R</v>
          </cell>
          <cell r="N675" t="str">
            <v>W</v>
          </cell>
          <cell r="O675" t="str">
            <v>W</v>
          </cell>
          <cell r="P675" t="str">
            <v/>
          </cell>
          <cell r="Q675" t="str">
            <v/>
          </cell>
          <cell r="R675" t="str">
            <v>-</v>
          </cell>
        </row>
        <row r="676">
          <cell r="A676">
            <v>1553641</v>
          </cell>
          <cell r="B676">
            <v>107</v>
          </cell>
          <cell r="C676">
            <v>2020</v>
          </cell>
          <cell r="D676" t="str">
            <v>215/65 R17</v>
          </cell>
          <cell r="E676">
            <v>99</v>
          </cell>
          <cell r="F676" t="str">
            <v>H</v>
          </cell>
          <cell r="G676" t="str">
            <v>RP70</v>
          </cell>
          <cell r="H676">
            <v>1553641</v>
          </cell>
          <cell r="I676">
            <v>52146</v>
          </cell>
          <cell r="J676">
            <v>0</v>
          </cell>
          <cell r="K676" t="str">
            <v>P4</v>
          </cell>
          <cell r="L676" t="str">
            <v>ROYA</v>
          </cell>
          <cell r="M676" t="str">
            <v>R</v>
          </cell>
          <cell r="N676" t="str">
            <v>O</v>
          </cell>
          <cell r="O676" t="str">
            <v>Y</v>
          </cell>
          <cell r="P676" t="str">
            <v>A</v>
          </cell>
          <cell r="Q676" t="str">
            <v/>
          </cell>
          <cell r="R676" t="str">
            <v>-</v>
          </cell>
        </row>
        <row r="677">
          <cell r="A677">
            <v>1553691</v>
          </cell>
          <cell r="B677">
            <v>665</v>
          </cell>
          <cell r="C677">
            <v>4129</v>
          </cell>
          <cell r="D677" t="str">
            <v>215/55 R17</v>
          </cell>
          <cell r="E677">
            <v>98</v>
          </cell>
          <cell r="F677" t="str">
            <v>V</v>
          </cell>
          <cell r="G677" t="str">
            <v>EUROSNOW 3 XL</v>
          </cell>
          <cell r="H677">
            <v>1553691</v>
          </cell>
          <cell r="I677">
            <v>52671</v>
          </cell>
          <cell r="J677">
            <v>0</v>
          </cell>
          <cell r="K677" t="str">
            <v>P4</v>
          </cell>
          <cell r="L677" t="str">
            <v>YYRWR</v>
          </cell>
          <cell r="M677" t="str">
            <v>Y</v>
          </cell>
          <cell r="N677" t="str">
            <v>Y</v>
          </cell>
          <cell r="O677" t="str">
            <v>R</v>
          </cell>
          <cell r="P677" t="str">
            <v>W</v>
          </cell>
          <cell r="Q677" t="str">
            <v>R</v>
          </cell>
          <cell r="R677" t="str">
            <v>-</v>
          </cell>
        </row>
        <row r="678">
          <cell r="A678">
            <v>1553694</v>
          </cell>
          <cell r="B678" t="str">
            <v>-</v>
          </cell>
          <cell r="C678">
            <v>58130</v>
          </cell>
          <cell r="D678" t="str">
            <v>225/40 R18</v>
          </cell>
          <cell r="E678">
            <v>92</v>
          </cell>
          <cell r="F678" t="str">
            <v>V</v>
          </cell>
          <cell r="G678" t="str">
            <v>EUROSNOW 2 XL</v>
          </cell>
          <cell r="H678">
            <v>1553694</v>
          </cell>
          <cell r="I678">
            <v>52649</v>
          </cell>
          <cell r="J678">
            <v>0</v>
          </cell>
          <cell r="K678" t="str">
            <v>P0</v>
          </cell>
          <cell r="L678" t="str">
            <v>RWW</v>
          </cell>
          <cell r="M678" t="str">
            <v>R</v>
          </cell>
          <cell r="N678" t="str">
            <v>W</v>
          </cell>
          <cell r="O678" t="str">
            <v>W</v>
          </cell>
          <cell r="P678" t="str">
            <v/>
          </cell>
          <cell r="Q678" t="str">
            <v/>
          </cell>
          <cell r="R678" t="str">
            <v>-</v>
          </cell>
        </row>
        <row r="679">
          <cell r="A679">
            <v>1553695</v>
          </cell>
          <cell r="B679">
            <v>943</v>
          </cell>
          <cell r="C679">
            <v>3151</v>
          </cell>
          <cell r="D679" t="str">
            <v>225/45 R17</v>
          </cell>
          <cell r="E679">
            <v>94</v>
          </cell>
          <cell r="F679" t="str">
            <v>V</v>
          </cell>
          <cell r="G679" t="str">
            <v>EUROSNOW 3</v>
          </cell>
          <cell r="H679">
            <v>1553695</v>
          </cell>
          <cell r="I679">
            <v>52173</v>
          </cell>
          <cell r="J679">
            <v>0</v>
          </cell>
          <cell r="K679" t="str">
            <v>P4</v>
          </cell>
          <cell r="L679" t="str">
            <v>RGGWO</v>
          </cell>
          <cell r="M679" t="str">
            <v>R</v>
          </cell>
          <cell r="N679" t="str">
            <v>G</v>
          </cell>
          <cell r="O679" t="str">
            <v>G</v>
          </cell>
          <cell r="P679" t="str">
            <v>W</v>
          </cell>
          <cell r="Q679" t="str">
            <v>O</v>
          </cell>
          <cell r="R679" t="str">
            <v>-</v>
          </cell>
        </row>
        <row r="680">
          <cell r="A680">
            <v>1553762</v>
          </cell>
          <cell r="B680">
            <v>764</v>
          </cell>
          <cell r="C680">
            <v>2053</v>
          </cell>
          <cell r="D680" t="str">
            <v>205/55 R17</v>
          </cell>
          <cell r="E680">
            <v>95</v>
          </cell>
          <cell r="F680" t="str">
            <v>V</v>
          </cell>
          <cell r="G680" t="str">
            <v>RP70 WINTER XL</v>
          </cell>
          <cell r="H680">
            <v>1553762</v>
          </cell>
          <cell r="I680">
            <v>52759</v>
          </cell>
          <cell r="J680">
            <v>0</v>
          </cell>
          <cell r="K680" t="str">
            <v>P4</v>
          </cell>
          <cell r="L680" t="str">
            <v>OOWA</v>
          </cell>
          <cell r="M680" t="str">
            <v>O</v>
          </cell>
          <cell r="N680" t="str">
            <v>O</v>
          </cell>
          <cell r="O680" t="str">
            <v>W</v>
          </cell>
          <cell r="P680" t="str">
            <v>A</v>
          </cell>
          <cell r="Q680" t="str">
            <v/>
          </cell>
          <cell r="R680" t="str">
            <v>-</v>
          </cell>
        </row>
        <row r="681">
          <cell r="A681">
            <v>1553763</v>
          </cell>
          <cell r="B681">
            <v>321</v>
          </cell>
          <cell r="C681">
            <v>6074</v>
          </cell>
          <cell r="D681" t="str">
            <v>195/60 R16</v>
          </cell>
          <cell r="E681">
            <v>89</v>
          </cell>
          <cell r="F681" t="str">
            <v>H</v>
          </cell>
          <cell r="G681" t="str">
            <v>RP70 WINTER</v>
          </cell>
          <cell r="H681">
            <v>1553763</v>
          </cell>
          <cell r="I681">
            <v>52322</v>
          </cell>
          <cell r="J681">
            <v>0</v>
          </cell>
          <cell r="K681" t="str">
            <v>P0</v>
          </cell>
          <cell r="L681" t="str">
            <v>GAYA</v>
          </cell>
          <cell r="M681" t="str">
            <v>G</v>
          </cell>
          <cell r="N681" t="str">
            <v>A</v>
          </cell>
          <cell r="O681" t="str">
            <v>Y</v>
          </cell>
          <cell r="P681" t="str">
            <v>A</v>
          </cell>
          <cell r="Q681" t="str">
            <v/>
          </cell>
          <cell r="R681" t="str">
            <v>-</v>
          </cell>
        </row>
        <row r="682">
          <cell r="A682">
            <v>1553876</v>
          </cell>
          <cell r="B682">
            <v>246</v>
          </cell>
          <cell r="C682">
            <v>2099</v>
          </cell>
          <cell r="D682" t="str">
            <v>235/55 R18</v>
          </cell>
          <cell r="E682">
            <v>104</v>
          </cell>
          <cell r="F682" t="str">
            <v>H</v>
          </cell>
          <cell r="G682" t="str">
            <v>RP70 XL</v>
          </cell>
          <cell r="H682">
            <v>1553876</v>
          </cell>
          <cell r="I682">
            <v>52245</v>
          </cell>
          <cell r="J682">
            <v>0</v>
          </cell>
          <cell r="K682" t="str">
            <v>P4</v>
          </cell>
          <cell r="L682" t="str">
            <v>AWWRR</v>
          </cell>
          <cell r="M682" t="str">
            <v>A</v>
          </cell>
          <cell r="N682" t="str">
            <v>W</v>
          </cell>
          <cell r="O682" t="str">
            <v>W</v>
          </cell>
          <cell r="P682" t="str">
            <v>R</v>
          </cell>
          <cell r="Q682" t="str">
            <v>R</v>
          </cell>
          <cell r="R682" t="str">
            <v>-</v>
          </cell>
        </row>
        <row r="683">
          <cell r="A683">
            <v>1553911</v>
          </cell>
          <cell r="B683">
            <v>937</v>
          </cell>
          <cell r="C683">
            <v>77</v>
          </cell>
          <cell r="D683" t="str">
            <v>205/50 R17</v>
          </cell>
          <cell r="E683">
            <v>93</v>
          </cell>
          <cell r="F683" t="str">
            <v>V</v>
          </cell>
          <cell r="G683" t="str">
            <v>RP70 WINTER XL</v>
          </cell>
          <cell r="H683">
            <v>1553911</v>
          </cell>
          <cell r="I683">
            <v>52077</v>
          </cell>
          <cell r="J683">
            <v>0</v>
          </cell>
          <cell r="K683" t="str">
            <v>P4</v>
          </cell>
          <cell r="L683" t="str">
            <v>AAAGY</v>
          </cell>
          <cell r="M683" t="str">
            <v>A</v>
          </cell>
          <cell r="N683" t="str">
            <v>A</v>
          </cell>
          <cell r="O683" t="str">
            <v>A</v>
          </cell>
          <cell r="P683" t="str">
            <v>G</v>
          </cell>
          <cell r="Q683" t="str">
            <v>Y</v>
          </cell>
          <cell r="R683" t="str">
            <v>-</v>
          </cell>
        </row>
        <row r="684">
          <cell r="A684">
            <v>1553948</v>
          </cell>
          <cell r="B684">
            <v>375</v>
          </cell>
          <cell r="C684">
            <v>5169</v>
          </cell>
          <cell r="D684" t="str">
            <v>185/65 R15</v>
          </cell>
          <cell r="E684">
            <v>92</v>
          </cell>
          <cell r="F684" t="str">
            <v>T</v>
          </cell>
          <cell r="G684" t="str">
            <v>BESTDRIVE XL</v>
          </cell>
          <cell r="H684">
            <v>1553948</v>
          </cell>
          <cell r="I684">
            <v>52374</v>
          </cell>
          <cell r="J684">
            <v>0</v>
          </cell>
          <cell r="K684" t="str">
            <v>P4</v>
          </cell>
          <cell r="L684" t="str">
            <v>AGYA</v>
          </cell>
          <cell r="M684" t="str">
            <v>A</v>
          </cell>
          <cell r="N684" t="str">
            <v>G</v>
          </cell>
          <cell r="O684" t="str">
            <v>Y</v>
          </cell>
          <cell r="P684" t="str">
            <v>A</v>
          </cell>
          <cell r="Q684" t="str">
            <v/>
          </cell>
          <cell r="R684" t="str">
            <v>-</v>
          </cell>
        </row>
        <row r="685">
          <cell r="A685">
            <v>1553954</v>
          </cell>
          <cell r="B685">
            <v>790</v>
          </cell>
          <cell r="C685">
            <v>3049</v>
          </cell>
          <cell r="D685" t="str">
            <v>215/55 R16</v>
          </cell>
          <cell r="E685">
            <v>97</v>
          </cell>
          <cell r="F685" t="str">
            <v>V</v>
          </cell>
          <cell r="G685" t="str">
            <v>WINTER BESTDRIV XL</v>
          </cell>
          <cell r="H685">
            <v>1553954</v>
          </cell>
          <cell r="I685">
            <v>52692</v>
          </cell>
          <cell r="J685">
            <v>0</v>
          </cell>
          <cell r="K685" t="str">
            <v>P4</v>
          </cell>
          <cell r="L685" t="str">
            <v>GWGOR</v>
          </cell>
          <cell r="M685" t="str">
            <v>G</v>
          </cell>
          <cell r="N685" t="str">
            <v>W</v>
          </cell>
          <cell r="O685" t="str">
            <v>G</v>
          </cell>
          <cell r="P685" t="str">
            <v>O</v>
          </cell>
          <cell r="Q685" t="str">
            <v>R</v>
          </cell>
          <cell r="R685" t="str">
            <v>-</v>
          </cell>
        </row>
        <row r="686">
          <cell r="A686">
            <v>1553959</v>
          </cell>
          <cell r="B686">
            <v>177</v>
          </cell>
          <cell r="C686">
            <v>5060</v>
          </cell>
          <cell r="D686" t="str">
            <v>215/50 R17</v>
          </cell>
          <cell r="E686">
            <v>95</v>
          </cell>
          <cell r="F686" t="str">
            <v>V</v>
          </cell>
          <cell r="G686" t="str">
            <v>BESTDRIVE WINTER XL</v>
          </cell>
          <cell r="H686">
            <v>1553959</v>
          </cell>
          <cell r="I686">
            <v>52157</v>
          </cell>
          <cell r="J686">
            <v>0</v>
          </cell>
          <cell r="K686" t="str">
            <v>P4</v>
          </cell>
          <cell r="L686" t="str">
            <v>YG</v>
          </cell>
          <cell r="M686" t="str">
            <v>Y</v>
          </cell>
          <cell r="N686" t="str">
            <v>G</v>
          </cell>
          <cell r="O686" t="str">
            <v/>
          </cell>
          <cell r="P686" t="str">
            <v/>
          </cell>
          <cell r="Q686" t="str">
            <v/>
          </cell>
          <cell r="R686" t="str">
            <v>-</v>
          </cell>
        </row>
        <row r="687">
          <cell r="A687">
            <v>1553960</v>
          </cell>
          <cell r="B687">
            <v>960</v>
          </cell>
          <cell r="C687">
            <v>5076</v>
          </cell>
          <cell r="D687" t="str">
            <v>215/55 R17</v>
          </cell>
          <cell r="E687">
            <v>98</v>
          </cell>
          <cell r="F687" t="str">
            <v>V</v>
          </cell>
          <cell r="G687" t="str">
            <v>WINTER XL</v>
          </cell>
          <cell r="H687">
            <v>1553960</v>
          </cell>
          <cell r="I687">
            <v>52659</v>
          </cell>
          <cell r="J687">
            <v>0</v>
          </cell>
          <cell r="K687" t="str">
            <v>P4</v>
          </cell>
          <cell r="L687" t="str">
            <v>RAGRG</v>
          </cell>
          <cell r="M687" t="str">
            <v>R</v>
          </cell>
          <cell r="N687" t="str">
            <v>A</v>
          </cell>
          <cell r="O687" t="str">
            <v>G</v>
          </cell>
          <cell r="P687" t="str">
            <v>R</v>
          </cell>
          <cell r="Q687" t="str">
            <v>G</v>
          </cell>
          <cell r="R687" t="str">
            <v>-</v>
          </cell>
        </row>
        <row r="688">
          <cell r="A688">
            <v>1553964</v>
          </cell>
          <cell r="B688">
            <v>317</v>
          </cell>
          <cell r="C688">
            <v>3051</v>
          </cell>
          <cell r="D688" t="str">
            <v>225/45 R17</v>
          </cell>
          <cell r="E688">
            <v>94</v>
          </cell>
          <cell r="F688" t="str">
            <v>V</v>
          </cell>
          <cell r="G688" t="str">
            <v>BESTDRIVE WINTER XL</v>
          </cell>
          <cell r="H688">
            <v>1553964</v>
          </cell>
          <cell r="I688">
            <v>52317</v>
          </cell>
          <cell r="J688">
            <v>0</v>
          </cell>
          <cell r="K688" t="str">
            <v>P4</v>
          </cell>
          <cell r="L688" t="str">
            <v>AAGYY</v>
          </cell>
          <cell r="M688" t="str">
            <v>A</v>
          </cell>
          <cell r="N688" t="str">
            <v>A</v>
          </cell>
          <cell r="O688" t="str">
            <v>G</v>
          </cell>
          <cell r="P688" t="str">
            <v>Y</v>
          </cell>
          <cell r="Q688" t="str">
            <v>Y</v>
          </cell>
          <cell r="R688" t="str">
            <v>-</v>
          </cell>
        </row>
        <row r="689">
          <cell r="A689">
            <v>1553976</v>
          </cell>
          <cell r="B689">
            <v>727</v>
          </cell>
          <cell r="C689">
            <v>58204</v>
          </cell>
          <cell r="D689" t="str">
            <v>225/40 R18</v>
          </cell>
          <cell r="E689">
            <v>92</v>
          </cell>
          <cell r="F689" t="str">
            <v>V</v>
          </cell>
          <cell r="G689" t="str">
            <v>BESTDRIVE WINTER XL</v>
          </cell>
          <cell r="H689">
            <v>1553976</v>
          </cell>
          <cell r="I689">
            <v>52729</v>
          </cell>
          <cell r="J689">
            <v>0</v>
          </cell>
          <cell r="K689" t="str">
            <v>P4</v>
          </cell>
          <cell r="L689" t="str">
            <v>YROO</v>
          </cell>
          <cell r="M689" t="str">
            <v>Y</v>
          </cell>
          <cell r="N689" t="str">
            <v>R</v>
          </cell>
          <cell r="O689" t="str">
            <v>O</v>
          </cell>
          <cell r="P689" t="str">
            <v>O</v>
          </cell>
          <cell r="Q689" t="str">
            <v/>
          </cell>
          <cell r="R689" t="str">
            <v>-</v>
          </cell>
        </row>
        <row r="690">
          <cell r="A690">
            <v>1553980</v>
          </cell>
          <cell r="B690" t="str">
            <v>-</v>
          </cell>
          <cell r="C690">
            <v>5041</v>
          </cell>
          <cell r="D690" t="str">
            <v>235/60 R18</v>
          </cell>
          <cell r="E690">
            <v>107</v>
          </cell>
          <cell r="F690" t="str">
            <v>V</v>
          </cell>
          <cell r="G690" t="str">
            <v>WINTER XL</v>
          </cell>
          <cell r="H690">
            <v>1553980</v>
          </cell>
          <cell r="I690">
            <v>52333</v>
          </cell>
          <cell r="J690">
            <v>0</v>
          </cell>
          <cell r="K690" t="str">
            <v>P4</v>
          </cell>
          <cell r="L690" t="str">
            <v>GGO</v>
          </cell>
          <cell r="M690" t="str">
            <v>G</v>
          </cell>
          <cell r="N690" t="str">
            <v>G</v>
          </cell>
          <cell r="O690" t="str">
            <v>O</v>
          </cell>
          <cell r="P690" t="str">
            <v/>
          </cell>
          <cell r="Q690" t="str">
            <v/>
          </cell>
          <cell r="R690" t="str">
            <v>-</v>
          </cell>
        </row>
        <row r="691">
          <cell r="A691">
            <v>1553981</v>
          </cell>
          <cell r="B691">
            <v>356</v>
          </cell>
          <cell r="C691">
            <v>58246</v>
          </cell>
          <cell r="D691" t="str">
            <v>245/40 R18</v>
          </cell>
          <cell r="E691">
            <v>97</v>
          </cell>
          <cell r="F691" t="str">
            <v>V</v>
          </cell>
          <cell r="G691" t="str">
            <v>BESTDRIVE WINTER XL</v>
          </cell>
          <cell r="H691">
            <v>1553981</v>
          </cell>
          <cell r="I691">
            <v>52543</v>
          </cell>
          <cell r="J691">
            <v>0</v>
          </cell>
          <cell r="K691" t="str">
            <v>P4</v>
          </cell>
          <cell r="L691" t="str">
            <v>GYWGY</v>
          </cell>
          <cell r="M691" t="str">
            <v>G</v>
          </cell>
          <cell r="N691" t="str">
            <v>Y</v>
          </cell>
          <cell r="O691" t="str">
            <v>W</v>
          </cell>
          <cell r="P691" t="str">
            <v>G</v>
          </cell>
          <cell r="Q691" t="str">
            <v>Y</v>
          </cell>
          <cell r="R691" t="str">
            <v>-</v>
          </cell>
        </row>
        <row r="692">
          <cell r="A692">
            <v>1553982</v>
          </cell>
          <cell r="B692">
            <v>86</v>
          </cell>
          <cell r="C692">
            <v>3061</v>
          </cell>
          <cell r="D692" t="str">
            <v>245/45 R18</v>
          </cell>
          <cell r="E692">
            <v>100</v>
          </cell>
          <cell r="F692" t="str">
            <v>V</v>
          </cell>
          <cell r="G692" t="str">
            <v>BESTDRIVE WINTER XL</v>
          </cell>
          <cell r="H692">
            <v>1553982</v>
          </cell>
          <cell r="I692">
            <v>52080</v>
          </cell>
          <cell r="J692">
            <v>0</v>
          </cell>
          <cell r="K692" t="str">
            <v>P4</v>
          </cell>
          <cell r="L692" t="str">
            <v>YYYAO</v>
          </cell>
          <cell r="M692" t="str">
            <v>Y</v>
          </cell>
          <cell r="N692" t="str">
            <v>Y</v>
          </cell>
          <cell r="O692" t="str">
            <v>Y</v>
          </cell>
          <cell r="P692" t="str">
            <v>A</v>
          </cell>
          <cell r="Q692" t="str">
            <v>O</v>
          </cell>
          <cell r="R692" t="str">
            <v>-</v>
          </cell>
        </row>
        <row r="693">
          <cell r="A693">
            <v>1554002</v>
          </cell>
          <cell r="B693" t="str">
            <v>-</v>
          </cell>
          <cell r="C693">
            <v>6077</v>
          </cell>
          <cell r="D693" t="str">
            <v>245/45 R18</v>
          </cell>
          <cell r="E693">
            <v>100</v>
          </cell>
          <cell r="F693" t="str">
            <v>Y</v>
          </cell>
          <cell r="G693" t="str">
            <v>PREVENSYS XL</v>
          </cell>
          <cell r="H693">
            <v>1554002</v>
          </cell>
          <cell r="I693">
            <v>52327</v>
          </cell>
          <cell r="J693">
            <v>0</v>
          </cell>
          <cell r="K693" t="str">
            <v>P3</v>
          </cell>
          <cell r="L693" t="str">
            <v>GAYRO</v>
          </cell>
          <cell r="M693" t="str">
            <v>G</v>
          </cell>
          <cell r="N693" t="str">
            <v>A</v>
          </cell>
          <cell r="O693" t="str">
            <v>Y</v>
          </cell>
          <cell r="P693" t="str">
            <v>R</v>
          </cell>
          <cell r="Q693" t="str">
            <v>O</v>
          </cell>
          <cell r="R693" t="str">
            <v>-</v>
          </cell>
        </row>
        <row r="694">
          <cell r="A694">
            <v>1554008</v>
          </cell>
          <cell r="B694">
            <v>469</v>
          </cell>
          <cell r="C694">
            <v>3096</v>
          </cell>
          <cell r="D694" t="str">
            <v>165/65 R15</v>
          </cell>
          <cell r="E694">
            <v>81</v>
          </cell>
          <cell r="F694" t="str">
            <v>T</v>
          </cell>
          <cell r="G694" t="str">
            <v>TENOR 3</v>
          </cell>
          <cell r="H694">
            <v>1554008</v>
          </cell>
          <cell r="I694">
            <v>52378</v>
          </cell>
          <cell r="J694">
            <v>0</v>
          </cell>
          <cell r="K694" t="str">
            <v>P8</v>
          </cell>
          <cell r="L694" t="str">
            <v>OWG</v>
          </cell>
          <cell r="M694" t="str">
            <v>O</v>
          </cell>
          <cell r="N694" t="str">
            <v>W</v>
          </cell>
          <cell r="O694" t="str">
            <v>G</v>
          </cell>
          <cell r="P694" t="str">
            <v/>
          </cell>
          <cell r="Q694" t="str">
            <v/>
          </cell>
          <cell r="R694" t="str">
            <v>-</v>
          </cell>
        </row>
        <row r="695">
          <cell r="A695">
            <v>1554047</v>
          </cell>
          <cell r="B695">
            <v>969</v>
          </cell>
          <cell r="C695">
            <v>4063</v>
          </cell>
          <cell r="D695" t="str">
            <v>185/60 R15</v>
          </cell>
          <cell r="E695">
            <v>84</v>
          </cell>
          <cell r="F695" t="str">
            <v>H</v>
          </cell>
          <cell r="G695" t="str">
            <v>TENOR 3</v>
          </cell>
          <cell r="H695">
            <v>1554047</v>
          </cell>
          <cell r="I695">
            <v>52769</v>
          </cell>
          <cell r="J695">
            <v>0</v>
          </cell>
          <cell r="K695" t="str">
            <v>P4</v>
          </cell>
          <cell r="L695" t="str">
            <v>AYO</v>
          </cell>
          <cell r="M695" t="str">
            <v>A</v>
          </cell>
          <cell r="N695" t="str">
            <v>Y</v>
          </cell>
          <cell r="O695" t="str">
            <v>O</v>
          </cell>
          <cell r="P695" t="str">
            <v/>
          </cell>
          <cell r="Q695" t="str">
            <v/>
          </cell>
          <cell r="R695" t="str">
            <v>-</v>
          </cell>
        </row>
        <row r="696">
          <cell r="A696">
            <v>1554063</v>
          </cell>
          <cell r="B696">
            <v>543</v>
          </cell>
          <cell r="C696">
            <v>6072</v>
          </cell>
          <cell r="D696" t="str">
            <v>185/60 R15</v>
          </cell>
          <cell r="E696">
            <v>88</v>
          </cell>
          <cell r="F696" t="str">
            <v>H</v>
          </cell>
          <cell r="G696" t="str">
            <v>TENOR 3 XL</v>
          </cell>
          <cell r="H696">
            <v>1554063</v>
          </cell>
          <cell r="I696">
            <v>52523</v>
          </cell>
          <cell r="J696">
            <v>0</v>
          </cell>
          <cell r="K696" t="str">
            <v>P8</v>
          </cell>
          <cell r="L696" t="str">
            <v>AGRW</v>
          </cell>
          <cell r="M696" t="str">
            <v>A</v>
          </cell>
          <cell r="N696" t="str">
            <v>G</v>
          </cell>
          <cell r="O696" t="str">
            <v>R</v>
          </cell>
          <cell r="P696" t="str">
            <v>W</v>
          </cell>
          <cell r="Q696" t="str">
            <v/>
          </cell>
          <cell r="R696" t="str">
            <v>-</v>
          </cell>
        </row>
        <row r="697">
          <cell r="A697">
            <v>1554069</v>
          </cell>
          <cell r="B697">
            <v>839</v>
          </cell>
          <cell r="C697">
            <v>4077</v>
          </cell>
          <cell r="D697" t="str">
            <v>195/45 R16</v>
          </cell>
          <cell r="E697">
            <v>84</v>
          </cell>
          <cell r="F697" t="str">
            <v>V</v>
          </cell>
          <cell r="G697" t="str">
            <v>TENOR 3</v>
          </cell>
          <cell r="H697">
            <v>1554069</v>
          </cell>
          <cell r="I697">
            <v>52832</v>
          </cell>
          <cell r="J697">
            <v>0</v>
          </cell>
          <cell r="K697" t="str">
            <v>P8</v>
          </cell>
          <cell r="L697" t="str">
            <v>GWRG</v>
          </cell>
          <cell r="M697" t="str">
            <v>G</v>
          </cell>
          <cell r="N697" t="str">
            <v>W</v>
          </cell>
          <cell r="O697" t="str">
            <v>R</v>
          </cell>
          <cell r="P697" t="str">
            <v>G</v>
          </cell>
          <cell r="Q697" t="str">
            <v/>
          </cell>
          <cell r="R697" t="str">
            <v>-</v>
          </cell>
        </row>
        <row r="698">
          <cell r="A698">
            <v>1554191</v>
          </cell>
          <cell r="B698">
            <v>801</v>
          </cell>
          <cell r="C698">
            <v>3077</v>
          </cell>
          <cell r="D698" t="str">
            <v>195/50 R16</v>
          </cell>
          <cell r="E698">
            <v>88</v>
          </cell>
          <cell r="F698" t="str">
            <v>V</v>
          </cell>
          <cell r="G698" t="str">
            <v>TENOR 3 XL</v>
          </cell>
          <cell r="H698">
            <v>1554191</v>
          </cell>
          <cell r="I698">
            <v>52802</v>
          </cell>
          <cell r="J698">
            <v>0</v>
          </cell>
          <cell r="K698" t="str">
            <v>P8</v>
          </cell>
          <cell r="L698" t="str">
            <v>AOGY</v>
          </cell>
          <cell r="M698" t="str">
            <v>A</v>
          </cell>
          <cell r="N698" t="str">
            <v>O</v>
          </cell>
          <cell r="O698" t="str">
            <v>G</v>
          </cell>
          <cell r="P698" t="str">
            <v>Y</v>
          </cell>
          <cell r="Q698" t="str">
            <v/>
          </cell>
          <cell r="R698" t="str">
            <v>-</v>
          </cell>
        </row>
        <row r="699">
          <cell r="A699">
            <v>1554203</v>
          </cell>
          <cell r="B699" t="str">
            <v>-</v>
          </cell>
          <cell r="C699">
            <v>4065</v>
          </cell>
          <cell r="D699" t="str">
            <v>195/65 R15</v>
          </cell>
          <cell r="E699">
            <v>91</v>
          </cell>
          <cell r="F699" t="str">
            <v>H</v>
          </cell>
          <cell r="G699" t="str">
            <v>TENOR 3</v>
          </cell>
          <cell r="H699">
            <v>1554203</v>
          </cell>
          <cell r="I699">
            <v>52835</v>
          </cell>
          <cell r="J699">
            <v>0</v>
          </cell>
          <cell r="K699" t="str">
            <v>P4</v>
          </cell>
          <cell r="L699" t="str">
            <v>AAGWA</v>
          </cell>
          <cell r="M699" t="str">
            <v>A</v>
          </cell>
          <cell r="N699" t="str">
            <v>A</v>
          </cell>
          <cell r="O699" t="str">
            <v>G</v>
          </cell>
          <cell r="P699" t="str">
            <v>W</v>
          </cell>
          <cell r="Q699" t="str">
            <v>A</v>
          </cell>
          <cell r="R699" t="str">
            <v>-</v>
          </cell>
        </row>
        <row r="700">
          <cell r="A700">
            <v>1554204</v>
          </cell>
          <cell r="B700" t="str">
            <v>-</v>
          </cell>
          <cell r="C700">
            <v>6093</v>
          </cell>
          <cell r="D700" t="str">
            <v>195/65 R15</v>
          </cell>
          <cell r="E700">
            <v>91</v>
          </cell>
          <cell r="F700" t="str">
            <v>V</v>
          </cell>
          <cell r="G700" t="str">
            <v>TENOR 3</v>
          </cell>
          <cell r="H700">
            <v>1554204</v>
          </cell>
          <cell r="I700">
            <v>52844</v>
          </cell>
          <cell r="J700">
            <v>0</v>
          </cell>
          <cell r="K700" t="str">
            <v>P4</v>
          </cell>
          <cell r="L700" t="str">
            <v>GRWOG</v>
          </cell>
          <cell r="M700" t="str">
            <v>G</v>
          </cell>
          <cell r="N700" t="str">
            <v>R</v>
          </cell>
          <cell r="O700" t="str">
            <v>W</v>
          </cell>
          <cell r="P700" t="str">
            <v>O</v>
          </cell>
          <cell r="Q700" t="str">
            <v>G</v>
          </cell>
          <cell r="R700" t="str">
            <v>-</v>
          </cell>
        </row>
        <row r="701">
          <cell r="A701">
            <v>1554205</v>
          </cell>
          <cell r="B701">
            <v>901</v>
          </cell>
          <cell r="C701">
            <v>4087</v>
          </cell>
          <cell r="D701" t="str">
            <v>205/45 R17</v>
          </cell>
          <cell r="E701">
            <v>88</v>
          </cell>
          <cell r="F701" t="str">
            <v>W</v>
          </cell>
          <cell r="G701" t="str">
            <v>TENOR 3 XL</v>
          </cell>
          <cell r="H701">
            <v>1554205</v>
          </cell>
          <cell r="I701">
            <v>52801</v>
          </cell>
          <cell r="J701">
            <v>0</v>
          </cell>
          <cell r="K701" t="str">
            <v>P4</v>
          </cell>
          <cell r="L701" t="str">
            <v>AAAR</v>
          </cell>
          <cell r="M701" t="str">
            <v>A</v>
          </cell>
          <cell r="N701" t="str">
            <v>A</v>
          </cell>
          <cell r="O701" t="str">
            <v>A</v>
          </cell>
          <cell r="P701" t="str">
            <v>R</v>
          </cell>
          <cell r="Q701" t="str">
            <v/>
          </cell>
          <cell r="R701" t="str">
            <v>-</v>
          </cell>
        </row>
        <row r="702">
          <cell r="A702">
            <v>1554206</v>
          </cell>
          <cell r="B702" t="str">
            <v>-</v>
          </cell>
          <cell r="C702">
            <v>6076</v>
          </cell>
          <cell r="D702" t="str">
            <v>205/50 R17</v>
          </cell>
          <cell r="E702">
            <v>93</v>
          </cell>
          <cell r="F702" t="str">
            <v>W</v>
          </cell>
          <cell r="G702" t="str">
            <v>TENOR 3 XL</v>
          </cell>
          <cell r="H702">
            <v>1554206</v>
          </cell>
          <cell r="I702">
            <v>52876</v>
          </cell>
          <cell r="J702">
            <v>0</v>
          </cell>
          <cell r="K702" t="str">
            <v>P0</v>
          </cell>
          <cell r="L702" t="str">
            <v>YWR</v>
          </cell>
          <cell r="M702" t="str">
            <v>Y</v>
          </cell>
          <cell r="N702" t="str">
            <v>W</v>
          </cell>
          <cell r="O702" t="str">
            <v>R</v>
          </cell>
          <cell r="P702" t="str">
            <v/>
          </cell>
          <cell r="Q702" t="str">
            <v/>
          </cell>
          <cell r="R702" t="str">
            <v>-</v>
          </cell>
        </row>
        <row r="703">
          <cell r="A703">
            <v>1554210</v>
          </cell>
          <cell r="B703">
            <v>800</v>
          </cell>
          <cell r="C703">
            <v>4081</v>
          </cell>
          <cell r="D703" t="str">
            <v>205/55 R17</v>
          </cell>
          <cell r="E703">
            <v>95</v>
          </cell>
          <cell r="F703" t="str">
            <v>V</v>
          </cell>
          <cell r="G703" t="str">
            <v>TENOR 3 XL</v>
          </cell>
          <cell r="H703">
            <v>1554210</v>
          </cell>
          <cell r="I703">
            <v>52806</v>
          </cell>
          <cell r="J703">
            <v>0</v>
          </cell>
          <cell r="K703" t="str">
            <v>P4</v>
          </cell>
          <cell r="L703" t="str">
            <v>RRAGY</v>
          </cell>
          <cell r="M703" t="str">
            <v>R</v>
          </cell>
          <cell r="N703" t="str">
            <v>R</v>
          </cell>
          <cell r="O703" t="str">
            <v>A</v>
          </cell>
          <cell r="P703" t="str">
            <v>G</v>
          </cell>
          <cell r="Q703" t="str">
            <v>Y</v>
          </cell>
          <cell r="R703" t="str">
            <v>-</v>
          </cell>
        </row>
        <row r="704">
          <cell r="A704">
            <v>1554221</v>
          </cell>
          <cell r="B704">
            <v>849</v>
          </cell>
          <cell r="C704">
            <v>4048</v>
          </cell>
          <cell r="D704" t="str">
            <v>215/45 R17</v>
          </cell>
          <cell r="E704">
            <v>99</v>
          </cell>
          <cell r="F704" t="str">
            <v>Y</v>
          </cell>
          <cell r="G704" t="str">
            <v>TENOR 3 XL</v>
          </cell>
          <cell r="H704">
            <v>1554221</v>
          </cell>
          <cell r="I704">
            <v>52839</v>
          </cell>
          <cell r="J704">
            <v>0</v>
          </cell>
          <cell r="K704" t="str">
            <v>P4</v>
          </cell>
          <cell r="L704" t="str">
            <v>ARAAA</v>
          </cell>
          <cell r="M704" t="str">
            <v>A</v>
          </cell>
          <cell r="N704" t="str">
            <v>R</v>
          </cell>
          <cell r="O704" t="str">
            <v>A</v>
          </cell>
          <cell r="P704" t="str">
            <v>A</v>
          </cell>
          <cell r="Q704" t="str">
            <v>A</v>
          </cell>
          <cell r="R704" t="str">
            <v>-</v>
          </cell>
        </row>
        <row r="705">
          <cell r="A705">
            <v>1554222</v>
          </cell>
          <cell r="B705">
            <v>784</v>
          </cell>
          <cell r="C705">
            <v>2012</v>
          </cell>
          <cell r="D705" t="str">
            <v>215/50 R17</v>
          </cell>
          <cell r="E705">
            <v>95</v>
          </cell>
          <cell r="F705" t="str">
            <v>W</v>
          </cell>
          <cell r="G705" t="str">
            <v>TENOR 3 XL</v>
          </cell>
          <cell r="H705">
            <v>1554222</v>
          </cell>
          <cell r="I705">
            <v>52584</v>
          </cell>
          <cell r="J705">
            <v>0</v>
          </cell>
          <cell r="K705" t="str">
            <v>P4</v>
          </cell>
          <cell r="L705" t="str">
            <v>WOAOO</v>
          </cell>
          <cell r="M705" t="str">
            <v>W</v>
          </cell>
          <cell r="N705" t="str">
            <v>O</v>
          </cell>
          <cell r="O705" t="str">
            <v>A</v>
          </cell>
          <cell r="P705" t="str">
            <v>O</v>
          </cell>
          <cell r="Q705" t="str">
            <v>O</v>
          </cell>
          <cell r="R705" t="str">
            <v>-</v>
          </cell>
        </row>
        <row r="706">
          <cell r="A706">
            <v>1554231</v>
          </cell>
          <cell r="B706">
            <v>822</v>
          </cell>
          <cell r="C706">
            <v>3184</v>
          </cell>
          <cell r="D706" t="str">
            <v>215/55 R18</v>
          </cell>
          <cell r="E706">
            <v>99</v>
          </cell>
          <cell r="F706" t="str">
            <v>V</v>
          </cell>
          <cell r="G706" t="str">
            <v>TENOR 3 XL</v>
          </cell>
          <cell r="H706">
            <v>1554231</v>
          </cell>
          <cell r="I706">
            <v>52821</v>
          </cell>
          <cell r="J706">
            <v>0</v>
          </cell>
          <cell r="K706" t="str">
            <v>P4</v>
          </cell>
          <cell r="L706" t="str">
            <v>YYW</v>
          </cell>
          <cell r="M706" t="str">
            <v>Y</v>
          </cell>
          <cell r="N706" t="str">
            <v>Y</v>
          </cell>
          <cell r="O706" t="str">
            <v>W</v>
          </cell>
          <cell r="P706" t="str">
            <v/>
          </cell>
          <cell r="Q706" t="str">
            <v/>
          </cell>
          <cell r="R706" t="str">
            <v>-</v>
          </cell>
        </row>
        <row r="707">
          <cell r="A707">
            <v>1554322</v>
          </cell>
          <cell r="B707">
            <v>956</v>
          </cell>
          <cell r="C707">
            <v>6052</v>
          </cell>
          <cell r="D707" t="str">
            <v>225/45 R17</v>
          </cell>
          <cell r="E707">
            <v>94</v>
          </cell>
          <cell r="F707" t="str">
            <v>Y</v>
          </cell>
          <cell r="G707" t="str">
            <v>TENOR 3 XL</v>
          </cell>
          <cell r="H707">
            <v>1554322</v>
          </cell>
          <cell r="I707">
            <v>52856</v>
          </cell>
          <cell r="J707">
            <v>0</v>
          </cell>
          <cell r="K707" t="str">
            <v>P4</v>
          </cell>
          <cell r="L707" t="str">
            <v>GGGGW</v>
          </cell>
          <cell r="M707" t="str">
            <v>G</v>
          </cell>
          <cell r="N707" t="str">
            <v>G</v>
          </cell>
          <cell r="O707" t="str">
            <v>G</v>
          </cell>
          <cell r="P707" t="str">
            <v>G</v>
          </cell>
          <cell r="Q707" t="str">
            <v>W</v>
          </cell>
          <cell r="R707" t="str">
            <v>-</v>
          </cell>
        </row>
        <row r="708">
          <cell r="A708">
            <v>1554332</v>
          </cell>
          <cell r="B708">
            <v>853</v>
          </cell>
          <cell r="C708">
            <v>4049</v>
          </cell>
          <cell r="D708" t="str">
            <v>225/55 R18</v>
          </cell>
          <cell r="E708">
            <v>98</v>
          </cell>
          <cell r="F708" t="str">
            <v>V</v>
          </cell>
          <cell r="G708" t="str">
            <v>TENOR 3</v>
          </cell>
          <cell r="H708">
            <v>1554332</v>
          </cell>
          <cell r="I708">
            <v>52854</v>
          </cell>
          <cell r="J708">
            <v>0</v>
          </cell>
          <cell r="K708" t="str">
            <v>P4</v>
          </cell>
          <cell r="L708" t="str">
            <v>RRRWG</v>
          </cell>
          <cell r="M708" t="str">
            <v>R</v>
          </cell>
          <cell r="N708" t="str">
            <v>R</v>
          </cell>
          <cell r="O708" t="str">
            <v>R</v>
          </cell>
          <cell r="P708" t="str">
            <v>W</v>
          </cell>
          <cell r="Q708" t="str">
            <v>G</v>
          </cell>
          <cell r="R708" t="str">
            <v>-</v>
          </cell>
        </row>
        <row r="709">
          <cell r="A709">
            <v>1554334</v>
          </cell>
          <cell r="B709">
            <v>893</v>
          </cell>
          <cell r="C709">
            <v>4018</v>
          </cell>
          <cell r="D709" t="str">
            <v>225/60 R17</v>
          </cell>
          <cell r="E709">
            <v>99</v>
          </cell>
          <cell r="F709" t="str">
            <v>V</v>
          </cell>
          <cell r="G709" t="str">
            <v>TENOR 3</v>
          </cell>
          <cell r="H709">
            <v>1554334</v>
          </cell>
          <cell r="I709">
            <v>52793</v>
          </cell>
          <cell r="J709">
            <v>0</v>
          </cell>
          <cell r="K709" t="str">
            <v>P4</v>
          </cell>
          <cell r="L709" t="str">
            <v>RRROW</v>
          </cell>
          <cell r="M709" t="str">
            <v>R</v>
          </cell>
          <cell r="N709" t="str">
            <v>R</v>
          </cell>
          <cell r="O709" t="str">
            <v>R</v>
          </cell>
          <cell r="P709" t="str">
            <v>O</v>
          </cell>
          <cell r="Q709" t="str">
            <v>W</v>
          </cell>
          <cell r="R709" t="str">
            <v>-</v>
          </cell>
        </row>
        <row r="710">
          <cell r="A710">
            <v>1554416</v>
          </cell>
          <cell r="B710">
            <v>873</v>
          </cell>
          <cell r="C710">
            <v>4051</v>
          </cell>
          <cell r="D710" t="str">
            <v>235/45 R18</v>
          </cell>
          <cell r="E710">
            <v>98</v>
          </cell>
          <cell r="F710" t="str">
            <v>Y</v>
          </cell>
          <cell r="G710" t="str">
            <v>TENOR 3 XL</v>
          </cell>
          <cell r="H710">
            <v>1554416</v>
          </cell>
          <cell r="I710">
            <v>52773</v>
          </cell>
          <cell r="J710">
            <v>0</v>
          </cell>
          <cell r="K710" t="str">
            <v>P4</v>
          </cell>
          <cell r="L710" t="str">
            <v>AOG</v>
          </cell>
          <cell r="M710" t="str">
            <v>A</v>
          </cell>
          <cell r="N710" t="str">
            <v>O</v>
          </cell>
          <cell r="O710" t="str">
            <v>G</v>
          </cell>
          <cell r="P710" t="str">
            <v/>
          </cell>
          <cell r="Q710" t="str">
            <v/>
          </cell>
          <cell r="R710" t="str">
            <v>-</v>
          </cell>
        </row>
        <row r="711">
          <cell r="A711">
            <v>1554502</v>
          </cell>
          <cell r="B711" t="str">
            <v>-</v>
          </cell>
          <cell r="C711">
            <v>6077</v>
          </cell>
          <cell r="D711" t="str">
            <v>245/45 R18</v>
          </cell>
          <cell r="E711">
            <v>100</v>
          </cell>
          <cell r="F711" t="str">
            <v>Y</v>
          </cell>
          <cell r="G711" t="str">
            <v>TENOR 3</v>
          </cell>
          <cell r="H711">
            <v>1554502</v>
          </cell>
          <cell r="I711">
            <v>52327</v>
          </cell>
          <cell r="J711">
            <v>0</v>
          </cell>
          <cell r="K711" t="str">
            <v>P3</v>
          </cell>
          <cell r="L711" t="str">
            <v>GAYRO</v>
          </cell>
          <cell r="M711" t="str">
            <v>G</v>
          </cell>
          <cell r="N711" t="str">
            <v>A</v>
          </cell>
          <cell r="O711" t="str">
            <v>Y</v>
          </cell>
          <cell r="P711" t="str">
            <v>R</v>
          </cell>
          <cell r="Q711" t="str">
            <v>O</v>
          </cell>
          <cell r="R711" t="str">
            <v>-</v>
          </cell>
        </row>
        <row r="712">
          <cell r="A712">
            <v>1554507</v>
          </cell>
          <cell r="B712" t="str">
            <v>-</v>
          </cell>
          <cell r="C712">
            <v>2166</v>
          </cell>
          <cell r="D712" t="str">
            <v>225/45 R17</v>
          </cell>
          <cell r="E712">
            <v>91</v>
          </cell>
          <cell r="F712" t="str">
            <v>Y</v>
          </cell>
          <cell r="G712" t="str">
            <v>SUMMER S</v>
          </cell>
          <cell r="H712">
            <v>1554507</v>
          </cell>
          <cell r="I712">
            <v>52503</v>
          </cell>
          <cell r="J712">
            <v>0</v>
          </cell>
          <cell r="K712" t="str">
            <v>P4</v>
          </cell>
          <cell r="L712" t="str">
            <v>RRAAA</v>
          </cell>
          <cell r="M712" t="str">
            <v>R</v>
          </cell>
          <cell r="N712" t="str">
            <v>R</v>
          </cell>
          <cell r="O712" t="str">
            <v>A</v>
          </cell>
          <cell r="P712" t="str">
            <v>A</v>
          </cell>
          <cell r="Q712" t="str">
            <v>A</v>
          </cell>
          <cell r="R712" t="str">
            <v>-</v>
          </cell>
        </row>
        <row r="713">
          <cell r="A713">
            <v>1554540</v>
          </cell>
          <cell r="B713" t="str">
            <v>-</v>
          </cell>
          <cell r="C713">
            <v>3014</v>
          </cell>
          <cell r="D713" t="str">
            <v>205/55 R16</v>
          </cell>
          <cell r="E713">
            <v>91</v>
          </cell>
          <cell r="F713" t="str">
            <v>H</v>
          </cell>
          <cell r="G713" t="str">
            <v>RELIATREK</v>
          </cell>
          <cell r="H713">
            <v>1554540</v>
          </cell>
          <cell r="I713">
            <v>52343</v>
          </cell>
          <cell r="J713">
            <v>0</v>
          </cell>
          <cell r="K713" t="str">
            <v>P3</v>
          </cell>
          <cell r="L713" t="str">
            <v>AAGYY</v>
          </cell>
          <cell r="M713" t="str">
            <v>A</v>
          </cell>
          <cell r="N713" t="str">
            <v>A</v>
          </cell>
          <cell r="O713" t="str">
            <v>G</v>
          </cell>
          <cell r="P713" t="str">
            <v>Y</v>
          </cell>
          <cell r="Q713" t="str">
            <v>Y</v>
          </cell>
          <cell r="R713" t="str">
            <v>-</v>
          </cell>
        </row>
        <row r="714">
          <cell r="A714">
            <v>1554700</v>
          </cell>
          <cell r="B714">
            <v>561</v>
          </cell>
          <cell r="C714">
            <v>3095</v>
          </cell>
          <cell r="D714" t="str">
            <v>165/65 R15</v>
          </cell>
          <cell r="E714">
            <v>81</v>
          </cell>
          <cell r="F714" t="str">
            <v>T</v>
          </cell>
          <cell r="G714" t="str">
            <v>SUMMER</v>
          </cell>
          <cell r="H714">
            <v>1554700</v>
          </cell>
          <cell r="I714">
            <v>52461</v>
          </cell>
          <cell r="J714">
            <v>0</v>
          </cell>
          <cell r="K714" t="str">
            <v>P8</v>
          </cell>
          <cell r="L714" t="str">
            <v>RY</v>
          </cell>
          <cell r="M714" t="str">
            <v>R</v>
          </cell>
          <cell r="N714" t="str">
            <v>Y</v>
          </cell>
          <cell r="O714" t="str">
            <v/>
          </cell>
          <cell r="P714" t="str">
            <v/>
          </cell>
          <cell r="Q714" t="str">
            <v/>
          </cell>
          <cell r="R714" t="str">
            <v>-</v>
          </cell>
        </row>
        <row r="715">
          <cell r="A715">
            <v>1554709</v>
          </cell>
          <cell r="B715" t="str">
            <v>-</v>
          </cell>
          <cell r="C715">
            <v>4061</v>
          </cell>
          <cell r="D715" t="str">
            <v>195/65 R15</v>
          </cell>
          <cell r="E715">
            <v>95</v>
          </cell>
          <cell r="F715" t="str">
            <v>H</v>
          </cell>
          <cell r="G715" t="str">
            <v>BESTDRIVE SUMMER XL</v>
          </cell>
          <cell r="H715">
            <v>1554709</v>
          </cell>
          <cell r="I715">
            <v>52213</v>
          </cell>
          <cell r="J715">
            <v>0</v>
          </cell>
          <cell r="K715" t="str">
            <v>P2</v>
          </cell>
          <cell r="L715" t="str">
            <v>AARGY</v>
          </cell>
          <cell r="M715" t="str">
            <v>A</v>
          </cell>
          <cell r="N715" t="str">
            <v>A</v>
          </cell>
          <cell r="O715" t="str">
            <v>R</v>
          </cell>
          <cell r="P715" t="str">
            <v>G</v>
          </cell>
          <cell r="Q715" t="str">
            <v>Y</v>
          </cell>
          <cell r="R715" t="str">
            <v>-</v>
          </cell>
        </row>
        <row r="716">
          <cell r="A716">
            <v>1554710</v>
          </cell>
          <cell r="B716" t="str">
            <v>-</v>
          </cell>
          <cell r="C716">
            <v>5042</v>
          </cell>
          <cell r="D716" t="str">
            <v>195/65 R15</v>
          </cell>
          <cell r="E716">
            <v>91</v>
          </cell>
          <cell r="F716" t="str">
            <v>V</v>
          </cell>
          <cell r="G716" t="str">
            <v>SUMMER</v>
          </cell>
          <cell r="H716">
            <v>1554710</v>
          </cell>
          <cell r="I716">
            <v>52101</v>
          </cell>
          <cell r="J716">
            <v>0</v>
          </cell>
          <cell r="K716" t="str">
            <v>P2</v>
          </cell>
          <cell r="L716" t="str">
            <v>ORWR</v>
          </cell>
          <cell r="M716" t="str">
            <v>O</v>
          </cell>
          <cell r="N716" t="str">
            <v>R</v>
          </cell>
          <cell r="O716" t="str">
            <v>W</v>
          </cell>
          <cell r="P716" t="str">
            <v>R</v>
          </cell>
          <cell r="Q716" t="str">
            <v/>
          </cell>
          <cell r="R716" t="str">
            <v>-</v>
          </cell>
        </row>
        <row r="717">
          <cell r="A717">
            <v>1554713</v>
          </cell>
          <cell r="B717">
            <v>70</v>
          </cell>
          <cell r="C717">
            <v>5186</v>
          </cell>
          <cell r="D717" t="str">
            <v>195/45 R16</v>
          </cell>
          <cell r="E717">
            <v>84</v>
          </cell>
          <cell r="F717" t="str">
            <v>V</v>
          </cell>
          <cell r="G717" t="str">
            <v>SUMMER BESTDRIV XL</v>
          </cell>
          <cell r="H717">
            <v>1554713</v>
          </cell>
          <cell r="I717">
            <v>52070</v>
          </cell>
          <cell r="J717">
            <v>0</v>
          </cell>
          <cell r="K717" t="str">
            <v>P8</v>
          </cell>
          <cell r="L717" t="str">
            <v>AAGGY</v>
          </cell>
          <cell r="M717" t="str">
            <v>A</v>
          </cell>
          <cell r="N717" t="str">
            <v>A</v>
          </cell>
          <cell r="O717" t="str">
            <v>G</v>
          </cell>
          <cell r="P717" t="str">
            <v>G</v>
          </cell>
          <cell r="Q717" t="str">
            <v>Y</v>
          </cell>
          <cell r="R717" t="str">
            <v>-</v>
          </cell>
        </row>
        <row r="718">
          <cell r="A718">
            <v>1554714</v>
          </cell>
          <cell r="B718">
            <v>84</v>
          </cell>
          <cell r="C718">
            <v>5097</v>
          </cell>
          <cell r="D718" t="str">
            <v>195/50 R16</v>
          </cell>
          <cell r="E718">
            <v>88</v>
          </cell>
          <cell r="F718" t="str">
            <v>V</v>
          </cell>
          <cell r="G718" t="str">
            <v>SUMMER BESTDRVI XL</v>
          </cell>
          <cell r="H718">
            <v>1554714</v>
          </cell>
          <cell r="I718">
            <v>52084</v>
          </cell>
          <cell r="J718">
            <v>0</v>
          </cell>
          <cell r="K718" t="str">
            <v>P8</v>
          </cell>
          <cell r="L718" t="str">
            <v>AWWY</v>
          </cell>
          <cell r="M718" t="str">
            <v>A</v>
          </cell>
          <cell r="N718" t="str">
            <v>W</v>
          </cell>
          <cell r="O718" t="str">
            <v>W</v>
          </cell>
          <cell r="P718" t="str">
            <v>Y</v>
          </cell>
          <cell r="Q718" t="str">
            <v/>
          </cell>
          <cell r="R718" t="str">
            <v>-</v>
          </cell>
        </row>
        <row r="719">
          <cell r="A719">
            <v>1554716</v>
          </cell>
          <cell r="B719">
            <v>203</v>
          </cell>
          <cell r="C719">
            <v>4080</v>
          </cell>
          <cell r="D719" t="str">
            <v>205/45 R16</v>
          </cell>
          <cell r="E719">
            <v>87</v>
          </cell>
          <cell r="F719" t="str">
            <v>Y</v>
          </cell>
          <cell r="G719" t="str">
            <v>SUMMER BESTDRIV XL</v>
          </cell>
          <cell r="H719">
            <v>1554716</v>
          </cell>
          <cell r="I719">
            <v>52303</v>
          </cell>
          <cell r="J719">
            <v>0</v>
          </cell>
          <cell r="K719" t="str">
            <v>P4</v>
          </cell>
          <cell r="L719" t="str">
            <v>YYROA</v>
          </cell>
          <cell r="M719" t="str">
            <v>Y</v>
          </cell>
          <cell r="N719" t="str">
            <v>Y</v>
          </cell>
          <cell r="O719" t="str">
            <v>R</v>
          </cell>
          <cell r="P719" t="str">
            <v>O</v>
          </cell>
          <cell r="Q719" t="str">
            <v>A</v>
          </cell>
          <cell r="R719" t="str">
            <v>-</v>
          </cell>
        </row>
        <row r="720">
          <cell r="A720">
            <v>1554721</v>
          </cell>
          <cell r="B720" t="str">
            <v>-</v>
          </cell>
          <cell r="C720">
            <v>5237</v>
          </cell>
          <cell r="D720" t="str">
            <v>215/45 R16</v>
          </cell>
          <cell r="E720">
            <v>90</v>
          </cell>
          <cell r="F720" t="str">
            <v>V</v>
          </cell>
          <cell r="G720" t="str">
            <v>SUMMER XL</v>
          </cell>
          <cell r="H720">
            <v>1554721</v>
          </cell>
          <cell r="I720">
            <v>52551</v>
          </cell>
          <cell r="J720">
            <v>0</v>
          </cell>
          <cell r="K720" t="str">
            <v>P4</v>
          </cell>
          <cell r="L720" t="str">
            <v>WYYRR</v>
          </cell>
          <cell r="M720" t="str">
            <v>W</v>
          </cell>
          <cell r="N720" t="str">
            <v>Y</v>
          </cell>
          <cell r="O720" t="str">
            <v>Y</v>
          </cell>
          <cell r="P720" t="str">
            <v>R</v>
          </cell>
          <cell r="Q720" t="str">
            <v>R</v>
          </cell>
          <cell r="R720" t="str">
            <v>-</v>
          </cell>
        </row>
        <row r="721">
          <cell r="A721">
            <v>1554728</v>
          </cell>
          <cell r="B721">
            <v>734</v>
          </cell>
          <cell r="C721">
            <v>4028</v>
          </cell>
          <cell r="D721" t="str">
            <v>205/45 R17</v>
          </cell>
          <cell r="E721">
            <v>88</v>
          </cell>
          <cell r="F721" t="str">
            <v>Y</v>
          </cell>
          <cell r="G721" t="str">
            <v>SUMMER BESTDRIV XL</v>
          </cell>
          <cell r="H721">
            <v>1554728</v>
          </cell>
          <cell r="I721">
            <v>52534</v>
          </cell>
          <cell r="J721">
            <v>0</v>
          </cell>
          <cell r="K721" t="str">
            <v>P4</v>
          </cell>
          <cell r="L721" t="str">
            <v>O</v>
          </cell>
          <cell r="M721" t="str">
            <v>O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>-</v>
          </cell>
        </row>
        <row r="722">
          <cell r="A722">
            <v>1554729</v>
          </cell>
          <cell r="B722">
            <v>773</v>
          </cell>
          <cell r="C722">
            <v>4017</v>
          </cell>
          <cell r="D722" t="str">
            <v>205/50 R17</v>
          </cell>
          <cell r="E722">
            <v>93</v>
          </cell>
          <cell r="F722" t="str">
            <v>Y</v>
          </cell>
          <cell r="G722" t="str">
            <v>BESTDRIVE SUMMER XL</v>
          </cell>
          <cell r="H722">
            <v>1554729</v>
          </cell>
          <cell r="I722">
            <v>52473</v>
          </cell>
          <cell r="J722">
            <v>0</v>
          </cell>
          <cell r="K722" t="str">
            <v>P4</v>
          </cell>
          <cell r="L722" t="str">
            <v>GWWOR</v>
          </cell>
          <cell r="M722" t="str">
            <v>G</v>
          </cell>
          <cell r="N722" t="str">
            <v>W</v>
          </cell>
          <cell r="O722" t="str">
            <v>W</v>
          </cell>
          <cell r="P722" t="str">
            <v>O</v>
          </cell>
          <cell r="Q722" t="str">
            <v>R</v>
          </cell>
          <cell r="R722" t="str">
            <v>-</v>
          </cell>
        </row>
        <row r="723">
          <cell r="A723">
            <v>1554730</v>
          </cell>
          <cell r="B723" t="str">
            <v>-</v>
          </cell>
          <cell r="C723">
            <v>4091</v>
          </cell>
          <cell r="D723" t="str">
            <v>205/55 R17</v>
          </cell>
          <cell r="E723">
            <v>95</v>
          </cell>
          <cell r="F723" t="str">
            <v>V</v>
          </cell>
          <cell r="G723" t="str">
            <v>SUMMER BESTDRIV XL</v>
          </cell>
          <cell r="H723">
            <v>1554730</v>
          </cell>
          <cell r="I723">
            <v>52720</v>
          </cell>
          <cell r="J723">
            <v>0</v>
          </cell>
          <cell r="K723" t="str">
            <v>P2</v>
          </cell>
          <cell r="L723" t="str">
            <v>YARGA</v>
          </cell>
          <cell r="M723" t="str">
            <v>Y</v>
          </cell>
          <cell r="N723" t="str">
            <v>A</v>
          </cell>
          <cell r="O723" t="str">
            <v>R</v>
          </cell>
          <cell r="P723" t="str">
            <v>G</v>
          </cell>
          <cell r="Q723" t="str">
            <v>A</v>
          </cell>
          <cell r="R723" t="str">
            <v>-</v>
          </cell>
        </row>
        <row r="724">
          <cell r="A724">
            <v>1554731</v>
          </cell>
          <cell r="B724">
            <v>838</v>
          </cell>
          <cell r="C724">
            <v>5037</v>
          </cell>
          <cell r="D724" t="str">
            <v>215/45 R17</v>
          </cell>
          <cell r="E724">
            <v>91</v>
          </cell>
          <cell r="F724" t="str">
            <v>Y</v>
          </cell>
          <cell r="G724" t="str">
            <v>SUMMER XL</v>
          </cell>
          <cell r="H724">
            <v>1554731</v>
          </cell>
          <cell r="I724">
            <v>52638</v>
          </cell>
          <cell r="J724">
            <v>0</v>
          </cell>
          <cell r="K724" t="str">
            <v>P4</v>
          </cell>
          <cell r="L724" t="str">
            <v>AAYRR</v>
          </cell>
          <cell r="M724" t="str">
            <v>A</v>
          </cell>
          <cell r="N724" t="str">
            <v>A</v>
          </cell>
          <cell r="O724" t="str">
            <v>Y</v>
          </cell>
          <cell r="P724" t="str">
            <v>R</v>
          </cell>
          <cell r="Q724" t="str">
            <v>R</v>
          </cell>
          <cell r="R724" t="str">
            <v>-</v>
          </cell>
        </row>
        <row r="725">
          <cell r="A725">
            <v>1554732</v>
          </cell>
          <cell r="B725">
            <v>805</v>
          </cell>
          <cell r="C725">
            <v>5465</v>
          </cell>
          <cell r="D725" t="str">
            <v>215/50 R17</v>
          </cell>
          <cell r="E725">
            <v>95</v>
          </cell>
          <cell r="F725" t="str">
            <v>Y</v>
          </cell>
          <cell r="G725" t="str">
            <v>BESTDRIVE SUMMER XL</v>
          </cell>
          <cell r="H725">
            <v>1554732</v>
          </cell>
          <cell r="I725">
            <v>52705</v>
          </cell>
          <cell r="J725">
            <v>0</v>
          </cell>
          <cell r="K725" t="str">
            <v>P4</v>
          </cell>
          <cell r="L725" t="str">
            <v>RRAR</v>
          </cell>
          <cell r="M725" t="str">
            <v>R</v>
          </cell>
          <cell r="N725" t="str">
            <v>R</v>
          </cell>
          <cell r="O725" t="str">
            <v>A</v>
          </cell>
          <cell r="P725" t="str">
            <v>R</v>
          </cell>
          <cell r="Q725" t="str">
            <v/>
          </cell>
          <cell r="R725" t="str">
            <v>-</v>
          </cell>
        </row>
        <row r="726">
          <cell r="A726">
            <v>1554734</v>
          </cell>
          <cell r="B726">
            <v>834</v>
          </cell>
          <cell r="C726">
            <v>4139</v>
          </cell>
          <cell r="D726" t="str">
            <v>215/60 R17</v>
          </cell>
          <cell r="E726">
            <v>96</v>
          </cell>
          <cell r="F726" t="str">
            <v>V</v>
          </cell>
          <cell r="G726" t="str">
            <v>BESTDRIVE SUMMER</v>
          </cell>
          <cell r="H726">
            <v>1554734</v>
          </cell>
          <cell r="I726">
            <v>52634</v>
          </cell>
          <cell r="J726">
            <v>0</v>
          </cell>
          <cell r="K726" t="str">
            <v>P4</v>
          </cell>
          <cell r="L726" t="str">
            <v>RRYGG</v>
          </cell>
          <cell r="M726" t="str">
            <v>R</v>
          </cell>
          <cell r="N726" t="str">
            <v>R</v>
          </cell>
          <cell r="O726" t="str">
            <v>Y</v>
          </cell>
          <cell r="P726" t="str">
            <v>G</v>
          </cell>
          <cell r="Q726" t="str">
            <v>G</v>
          </cell>
          <cell r="R726" t="str">
            <v>-</v>
          </cell>
        </row>
        <row r="727">
          <cell r="A727">
            <v>1554735</v>
          </cell>
          <cell r="B727" t="str">
            <v>-</v>
          </cell>
          <cell r="C727">
            <v>2266</v>
          </cell>
          <cell r="D727" t="str">
            <v>225/45 R17</v>
          </cell>
          <cell r="E727">
            <v>94</v>
          </cell>
          <cell r="F727" t="str">
            <v>Y</v>
          </cell>
          <cell r="G727" t="str">
            <v>BESTDRIVE SUMMER XL</v>
          </cell>
          <cell r="H727">
            <v>1554735</v>
          </cell>
          <cell r="I727">
            <v>52139</v>
          </cell>
          <cell r="J727">
            <v>0</v>
          </cell>
          <cell r="K727" t="str">
            <v>P4</v>
          </cell>
          <cell r="L727" t="str">
            <v>AWRA</v>
          </cell>
          <cell r="M727" t="str">
            <v>A</v>
          </cell>
          <cell r="N727" t="str">
            <v>W</v>
          </cell>
          <cell r="O727" t="str">
            <v>R</v>
          </cell>
          <cell r="P727" t="str">
            <v>A</v>
          </cell>
          <cell r="Q727" t="str">
            <v/>
          </cell>
          <cell r="R727" t="str">
            <v>-</v>
          </cell>
        </row>
        <row r="728">
          <cell r="A728">
            <v>1554742</v>
          </cell>
          <cell r="B728" t="str">
            <v>-</v>
          </cell>
          <cell r="C728">
            <v>5396</v>
          </cell>
          <cell r="D728" t="str">
            <v>215/55 R18</v>
          </cell>
          <cell r="E728">
            <v>99</v>
          </cell>
          <cell r="F728" t="str">
            <v>V</v>
          </cell>
          <cell r="G728" t="str">
            <v>BESTDRIVE SUMMER XL</v>
          </cell>
          <cell r="H728">
            <v>1554742</v>
          </cell>
          <cell r="I728">
            <v>52481</v>
          </cell>
          <cell r="J728">
            <v>0</v>
          </cell>
          <cell r="K728" t="str">
            <v>P4</v>
          </cell>
          <cell r="L728" t="str">
            <v>AYYYY</v>
          </cell>
          <cell r="M728" t="str">
            <v>A</v>
          </cell>
          <cell r="N728" t="str">
            <v>Y</v>
          </cell>
          <cell r="O728" t="str">
            <v>Y</v>
          </cell>
          <cell r="P728" t="str">
            <v>Y</v>
          </cell>
          <cell r="Q728" t="str">
            <v>Y</v>
          </cell>
          <cell r="R728" t="str">
            <v>-</v>
          </cell>
        </row>
        <row r="729">
          <cell r="A729">
            <v>1554745</v>
          </cell>
          <cell r="B729">
            <v>854</v>
          </cell>
          <cell r="C729">
            <v>2002</v>
          </cell>
          <cell r="D729" t="str">
            <v>225/55 R18</v>
          </cell>
          <cell r="E729">
            <v>98</v>
          </cell>
          <cell r="F729" t="str">
            <v>V</v>
          </cell>
          <cell r="G729" t="str">
            <v>SUMMER</v>
          </cell>
          <cell r="H729">
            <v>1554745</v>
          </cell>
          <cell r="I729">
            <v>52054</v>
          </cell>
          <cell r="J729">
            <v>0</v>
          </cell>
          <cell r="K729" t="str">
            <v>P4</v>
          </cell>
          <cell r="L729" t="str">
            <v>WOG</v>
          </cell>
          <cell r="M729" t="str">
            <v>W</v>
          </cell>
          <cell r="N729" t="str">
            <v>O</v>
          </cell>
          <cell r="O729" t="str">
            <v>G</v>
          </cell>
          <cell r="P729" t="str">
            <v/>
          </cell>
          <cell r="Q729" t="str">
            <v/>
          </cell>
          <cell r="R729" t="str">
            <v>-</v>
          </cell>
        </row>
        <row r="730">
          <cell r="A730">
            <v>1554746</v>
          </cell>
          <cell r="B730">
            <v>564</v>
          </cell>
          <cell r="C730">
            <v>58054</v>
          </cell>
          <cell r="D730" t="str">
            <v>235/40 R18</v>
          </cell>
          <cell r="E730">
            <v>95</v>
          </cell>
          <cell r="F730" t="str">
            <v>Y</v>
          </cell>
          <cell r="G730" t="str">
            <v>BESTDRIVE SUMMER XL</v>
          </cell>
          <cell r="H730">
            <v>1554746</v>
          </cell>
          <cell r="I730">
            <v>52562</v>
          </cell>
          <cell r="J730">
            <v>0</v>
          </cell>
          <cell r="K730" t="str">
            <v>P4</v>
          </cell>
          <cell r="L730" t="str">
            <v>YYYR</v>
          </cell>
          <cell r="M730" t="str">
            <v>Y</v>
          </cell>
          <cell r="N730" t="str">
            <v>Y</v>
          </cell>
          <cell r="O730" t="str">
            <v>Y</v>
          </cell>
          <cell r="P730" t="str">
            <v>R</v>
          </cell>
          <cell r="Q730" t="str">
            <v/>
          </cell>
          <cell r="R730" t="str">
            <v>-</v>
          </cell>
        </row>
        <row r="731">
          <cell r="A731">
            <v>1554747</v>
          </cell>
          <cell r="B731" t="str">
            <v>-</v>
          </cell>
          <cell r="C731">
            <v>5066</v>
          </cell>
          <cell r="D731" t="str">
            <v>235/45 R18</v>
          </cell>
          <cell r="E731">
            <v>98</v>
          </cell>
          <cell r="F731" t="str">
            <v>Y</v>
          </cell>
          <cell r="G731" t="str">
            <v>SUMMER BESTDRIV XL</v>
          </cell>
          <cell r="H731">
            <v>1554747</v>
          </cell>
          <cell r="I731">
            <v>52655</v>
          </cell>
          <cell r="J731">
            <v>0</v>
          </cell>
          <cell r="K731" t="str">
            <v>P4</v>
          </cell>
          <cell r="L731" t="str">
            <v>RGOGG</v>
          </cell>
          <cell r="M731" t="str">
            <v>R</v>
          </cell>
          <cell r="N731" t="str">
            <v>G</v>
          </cell>
          <cell r="O731" t="str">
            <v>O</v>
          </cell>
          <cell r="P731" t="str">
            <v>G</v>
          </cell>
          <cell r="Q731" t="str">
            <v>G</v>
          </cell>
          <cell r="R731" t="str">
            <v>-</v>
          </cell>
        </row>
        <row r="732">
          <cell r="A732">
            <v>1554748</v>
          </cell>
          <cell r="B732">
            <v>997</v>
          </cell>
          <cell r="C732">
            <v>5181</v>
          </cell>
          <cell r="D732" t="str">
            <v>235/50 R18</v>
          </cell>
          <cell r="E732">
            <v>101</v>
          </cell>
          <cell r="F732" t="str">
            <v>Y</v>
          </cell>
          <cell r="G732" t="str">
            <v>SUMMER BESTDRIV XL</v>
          </cell>
          <cell r="H732">
            <v>1554748</v>
          </cell>
          <cell r="I732">
            <v>52597</v>
          </cell>
          <cell r="J732">
            <v>0</v>
          </cell>
          <cell r="K732" t="str">
            <v>P4</v>
          </cell>
          <cell r="L732" t="str">
            <v>AGOYY</v>
          </cell>
          <cell r="M732" t="str">
            <v>A</v>
          </cell>
          <cell r="N732" t="str">
            <v>G</v>
          </cell>
          <cell r="O732" t="str">
            <v>O</v>
          </cell>
          <cell r="P732" t="str">
            <v>Y</v>
          </cell>
          <cell r="Q732" t="str">
            <v>Y</v>
          </cell>
          <cell r="R732" t="str">
            <v>-</v>
          </cell>
        </row>
        <row r="733">
          <cell r="A733">
            <v>1554749</v>
          </cell>
          <cell r="B733" t="str">
            <v>-</v>
          </cell>
          <cell r="C733">
            <v>3045</v>
          </cell>
          <cell r="D733" t="str">
            <v>235/60 R18</v>
          </cell>
          <cell r="E733">
            <v>107</v>
          </cell>
          <cell r="F733" t="str">
            <v>V</v>
          </cell>
          <cell r="G733" t="str">
            <v>SUMMER XL</v>
          </cell>
          <cell r="H733">
            <v>1554749</v>
          </cell>
          <cell r="I733">
            <v>52500</v>
          </cell>
          <cell r="J733">
            <v>0</v>
          </cell>
          <cell r="K733" t="str">
            <v>P5</v>
          </cell>
          <cell r="L733" t="str">
            <v>GAGA</v>
          </cell>
          <cell r="M733" t="str">
            <v>G</v>
          </cell>
          <cell r="N733" t="str">
            <v>A</v>
          </cell>
          <cell r="O733" t="str">
            <v>G</v>
          </cell>
          <cell r="P733" t="str">
            <v>A</v>
          </cell>
          <cell r="Q733" t="str">
            <v/>
          </cell>
          <cell r="R733" t="str">
            <v>-</v>
          </cell>
        </row>
        <row r="734">
          <cell r="A734">
            <v>1554764</v>
          </cell>
          <cell r="B734">
            <v>70</v>
          </cell>
          <cell r="C734">
            <v>5186</v>
          </cell>
          <cell r="D734" t="str">
            <v>195/45 R16</v>
          </cell>
          <cell r="E734">
            <v>84</v>
          </cell>
          <cell r="F734" t="str">
            <v>V</v>
          </cell>
          <cell r="G734" t="str">
            <v>SPIRIT PRO XL</v>
          </cell>
          <cell r="H734">
            <v>1554764</v>
          </cell>
          <cell r="I734">
            <v>52070</v>
          </cell>
          <cell r="J734">
            <v>0</v>
          </cell>
          <cell r="K734" t="str">
            <v>P8</v>
          </cell>
          <cell r="L734" t="str">
            <v>AAGGY</v>
          </cell>
          <cell r="M734" t="str">
            <v>A</v>
          </cell>
          <cell r="N734" t="str">
            <v>A</v>
          </cell>
          <cell r="O734" t="str">
            <v>G</v>
          </cell>
          <cell r="P734" t="str">
            <v>G</v>
          </cell>
          <cell r="Q734" t="str">
            <v>Y</v>
          </cell>
          <cell r="R734" t="str">
            <v>-</v>
          </cell>
        </row>
        <row r="735">
          <cell r="A735">
            <v>1554769</v>
          </cell>
          <cell r="B735" t="str">
            <v>-</v>
          </cell>
          <cell r="C735">
            <v>6063</v>
          </cell>
          <cell r="D735" t="str">
            <v>195/65 R15</v>
          </cell>
          <cell r="E735">
            <v>91</v>
          </cell>
          <cell r="F735" t="str">
            <v>V</v>
          </cell>
          <cell r="G735" t="str">
            <v>SPIRIT PRO</v>
          </cell>
          <cell r="H735">
            <v>1554769</v>
          </cell>
          <cell r="I735">
            <v>52097</v>
          </cell>
          <cell r="J735">
            <v>0</v>
          </cell>
          <cell r="K735" t="str">
            <v>P2</v>
          </cell>
          <cell r="L735" t="str">
            <v>AGAO</v>
          </cell>
          <cell r="M735" t="str">
            <v>A</v>
          </cell>
          <cell r="N735" t="str">
            <v>G</v>
          </cell>
          <cell r="O735" t="str">
            <v>A</v>
          </cell>
          <cell r="P735" t="str">
            <v>O</v>
          </cell>
          <cell r="Q735" t="str">
            <v/>
          </cell>
          <cell r="R735" t="str">
            <v>-</v>
          </cell>
        </row>
        <row r="736">
          <cell r="A736">
            <v>1554770</v>
          </cell>
          <cell r="B736">
            <v>125</v>
          </cell>
          <cell r="C736">
            <v>2077</v>
          </cell>
          <cell r="D736" t="str">
            <v>205/50 R16</v>
          </cell>
          <cell r="E736">
            <v>87</v>
          </cell>
          <cell r="F736" t="str">
            <v>V</v>
          </cell>
          <cell r="G736" t="str">
            <v>SPIRIT PRO</v>
          </cell>
          <cell r="H736">
            <v>1554770</v>
          </cell>
          <cell r="I736">
            <v>52120</v>
          </cell>
          <cell r="J736">
            <v>0</v>
          </cell>
          <cell r="K736" t="str">
            <v>P4</v>
          </cell>
          <cell r="L736" t="str">
            <v>AAR</v>
          </cell>
          <cell r="M736" t="str">
            <v>A</v>
          </cell>
          <cell r="N736" t="str">
            <v>A</v>
          </cell>
          <cell r="O736" t="str">
            <v>R</v>
          </cell>
          <cell r="P736" t="str">
            <v/>
          </cell>
          <cell r="Q736" t="str">
            <v/>
          </cell>
          <cell r="R736" t="str">
            <v>-</v>
          </cell>
        </row>
        <row r="737">
          <cell r="A737">
            <v>1554771</v>
          </cell>
          <cell r="B737" t="str">
            <v>-</v>
          </cell>
          <cell r="C737">
            <v>6076</v>
          </cell>
          <cell r="D737" t="str">
            <v>205/50 R17</v>
          </cell>
          <cell r="E737">
            <v>93</v>
          </cell>
          <cell r="F737" t="str">
            <v>W</v>
          </cell>
          <cell r="G737" t="str">
            <v>SPIRIT PRO XL</v>
          </cell>
          <cell r="H737">
            <v>1554771</v>
          </cell>
          <cell r="I737">
            <v>52876</v>
          </cell>
          <cell r="J737">
            <v>0</v>
          </cell>
          <cell r="K737" t="str">
            <v>P0</v>
          </cell>
          <cell r="L737" t="str">
            <v>YWR</v>
          </cell>
          <cell r="M737" t="str">
            <v>Y</v>
          </cell>
          <cell r="N737" t="str">
            <v>W</v>
          </cell>
          <cell r="O737" t="str">
            <v>R</v>
          </cell>
          <cell r="P737" t="str">
            <v/>
          </cell>
          <cell r="Q737" t="str">
            <v/>
          </cell>
          <cell r="R737" t="str">
            <v>-</v>
          </cell>
        </row>
        <row r="738">
          <cell r="A738">
            <v>1554777</v>
          </cell>
          <cell r="B738">
            <v>838</v>
          </cell>
          <cell r="C738">
            <v>5037</v>
          </cell>
          <cell r="D738" t="str">
            <v>215/45 R17</v>
          </cell>
          <cell r="E738">
            <v>91</v>
          </cell>
          <cell r="F738" t="str">
            <v>Y</v>
          </cell>
          <cell r="G738" t="str">
            <v>SPIRIT PRO XL</v>
          </cell>
          <cell r="H738">
            <v>1554777</v>
          </cell>
          <cell r="I738">
            <v>52638</v>
          </cell>
          <cell r="J738">
            <v>0</v>
          </cell>
          <cell r="K738" t="str">
            <v>P4</v>
          </cell>
          <cell r="L738" t="str">
            <v>AAYRR</v>
          </cell>
          <cell r="M738" t="str">
            <v>A</v>
          </cell>
          <cell r="N738" t="str">
            <v>A</v>
          </cell>
          <cell r="O738" t="str">
            <v>Y</v>
          </cell>
          <cell r="P738" t="str">
            <v>R</v>
          </cell>
          <cell r="Q738" t="str">
            <v>R</v>
          </cell>
          <cell r="R738" t="str">
            <v>-</v>
          </cell>
        </row>
        <row r="739">
          <cell r="A739">
            <v>1554778</v>
          </cell>
          <cell r="B739">
            <v>784</v>
          </cell>
          <cell r="C739">
            <v>2012</v>
          </cell>
          <cell r="D739" t="str">
            <v>215/50 R17</v>
          </cell>
          <cell r="E739">
            <v>95</v>
          </cell>
          <cell r="F739" t="str">
            <v>W</v>
          </cell>
          <cell r="G739" t="str">
            <v>SPIRIT PRO XL</v>
          </cell>
          <cell r="H739">
            <v>1554778</v>
          </cell>
          <cell r="I739">
            <v>52584</v>
          </cell>
          <cell r="J739">
            <v>0</v>
          </cell>
          <cell r="K739" t="str">
            <v>P4</v>
          </cell>
          <cell r="L739" t="str">
            <v>WOAOO</v>
          </cell>
          <cell r="M739" t="str">
            <v>W</v>
          </cell>
          <cell r="N739" t="str">
            <v>O</v>
          </cell>
          <cell r="O739" t="str">
            <v>A</v>
          </cell>
          <cell r="P739" t="str">
            <v>O</v>
          </cell>
          <cell r="Q739" t="str">
            <v>O</v>
          </cell>
          <cell r="R739" t="str">
            <v>-</v>
          </cell>
        </row>
        <row r="740">
          <cell r="A740">
            <v>1554781</v>
          </cell>
          <cell r="B740">
            <v>759</v>
          </cell>
          <cell r="C740">
            <v>260</v>
          </cell>
          <cell r="D740" t="str">
            <v>215/60 R17</v>
          </cell>
          <cell r="E740">
            <v>96</v>
          </cell>
          <cell r="F740" t="str">
            <v>H</v>
          </cell>
          <cell r="G740" t="str">
            <v>SPIRIT PRO</v>
          </cell>
          <cell r="H740">
            <v>1554781</v>
          </cell>
          <cell r="I740">
            <v>52639</v>
          </cell>
          <cell r="J740">
            <v>0</v>
          </cell>
          <cell r="K740" t="str">
            <v>P4</v>
          </cell>
          <cell r="L740" t="str">
            <v>AARYY</v>
          </cell>
          <cell r="M740" t="str">
            <v>A</v>
          </cell>
          <cell r="N740" t="str">
            <v>A</v>
          </cell>
          <cell r="O740" t="str">
            <v>R</v>
          </cell>
          <cell r="P740" t="str">
            <v>Y</v>
          </cell>
          <cell r="Q740" t="str">
            <v>Y</v>
          </cell>
          <cell r="R740" t="str">
            <v>-</v>
          </cell>
        </row>
        <row r="741">
          <cell r="A741">
            <v>1554783</v>
          </cell>
          <cell r="B741">
            <v>519</v>
          </cell>
          <cell r="C741">
            <v>58052</v>
          </cell>
          <cell r="D741" t="str">
            <v>225/40 R18</v>
          </cell>
          <cell r="E741">
            <v>92</v>
          </cell>
          <cell r="F741" t="str">
            <v>Y</v>
          </cell>
          <cell r="G741" t="str">
            <v>SPIRIT PRO XL</v>
          </cell>
          <cell r="H741">
            <v>1554783</v>
          </cell>
          <cell r="I741">
            <v>52519</v>
          </cell>
          <cell r="J741">
            <v>0</v>
          </cell>
          <cell r="K741" t="str">
            <v>P4</v>
          </cell>
          <cell r="L741" t="str">
            <v>AAW</v>
          </cell>
          <cell r="M741" t="str">
            <v>A</v>
          </cell>
          <cell r="N741" t="str">
            <v>A</v>
          </cell>
          <cell r="O741" t="str">
            <v>W</v>
          </cell>
          <cell r="P741" t="str">
            <v/>
          </cell>
          <cell r="Q741" t="str">
            <v/>
          </cell>
          <cell r="R741" t="str">
            <v>-</v>
          </cell>
        </row>
        <row r="742">
          <cell r="A742">
            <v>1554785</v>
          </cell>
          <cell r="B742">
            <v>326</v>
          </cell>
          <cell r="C742">
            <v>13</v>
          </cell>
          <cell r="D742" t="str">
            <v>225/50 R17</v>
          </cell>
          <cell r="E742">
            <v>98</v>
          </cell>
          <cell r="F742" t="str">
            <v>Y</v>
          </cell>
          <cell r="G742" t="str">
            <v>SPIRIT PRO</v>
          </cell>
          <cell r="H742">
            <v>1554785</v>
          </cell>
          <cell r="I742">
            <v>52326</v>
          </cell>
          <cell r="J742">
            <v>0</v>
          </cell>
          <cell r="K742" t="str">
            <v>P4</v>
          </cell>
          <cell r="L742" t="str">
            <v>AAAAY</v>
          </cell>
          <cell r="M742" t="str">
            <v>A</v>
          </cell>
          <cell r="N742" t="str">
            <v>A</v>
          </cell>
          <cell r="O742" t="str">
            <v>A</v>
          </cell>
          <cell r="P742" t="str">
            <v>A</v>
          </cell>
          <cell r="Q742" t="str">
            <v>Y</v>
          </cell>
          <cell r="R742" t="str">
            <v>-</v>
          </cell>
        </row>
        <row r="743">
          <cell r="A743">
            <v>1554789</v>
          </cell>
          <cell r="B743">
            <v>564</v>
          </cell>
          <cell r="C743">
            <v>58054</v>
          </cell>
          <cell r="D743" t="str">
            <v>235/40 R18</v>
          </cell>
          <cell r="E743">
            <v>95</v>
          </cell>
          <cell r="F743" t="str">
            <v>Y</v>
          </cell>
          <cell r="G743" t="str">
            <v>SPIRIT PRO XL</v>
          </cell>
          <cell r="H743">
            <v>1554789</v>
          </cell>
          <cell r="I743">
            <v>52562</v>
          </cell>
          <cell r="J743">
            <v>0</v>
          </cell>
          <cell r="K743" t="str">
            <v>P4</v>
          </cell>
          <cell r="L743" t="str">
            <v>YYYR</v>
          </cell>
          <cell r="M743" t="str">
            <v>Y</v>
          </cell>
          <cell r="N743" t="str">
            <v>Y</v>
          </cell>
          <cell r="O743" t="str">
            <v>Y</v>
          </cell>
          <cell r="P743" t="str">
            <v>R</v>
          </cell>
          <cell r="Q743" t="str">
            <v/>
          </cell>
          <cell r="R743" t="str">
            <v>-</v>
          </cell>
        </row>
        <row r="744">
          <cell r="A744">
            <v>1554793</v>
          </cell>
          <cell r="B744" t="str">
            <v>-</v>
          </cell>
          <cell r="C744">
            <v>6077</v>
          </cell>
          <cell r="D744" t="str">
            <v>245/45 R18</v>
          </cell>
          <cell r="E744">
            <v>100</v>
          </cell>
          <cell r="F744" t="str">
            <v>Y</v>
          </cell>
          <cell r="G744" t="str">
            <v>SPIRIT PRO XL</v>
          </cell>
          <cell r="H744">
            <v>1554793</v>
          </cell>
          <cell r="I744">
            <v>52327</v>
          </cell>
          <cell r="J744">
            <v>0</v>
          </cell>
          <cell r="K744" t="str">
            <v>P3</v>
          </cell>
          <cell r="L744" t="str">
            <v>GAYRO</v>
          </cell>
          <cell r="M744" t="str">
            <v>G</v>
          </cell>
          <cell r="N744" t="str">
            <v>A</v>
          </cell>
          <cell r="O744" t="str">
            <v>Y</v>
          </cell>
          <cell r="P744" t="str">
            <v>R</v>
          </cell>
          <cell r="Q744" t="str">
            <v>O</v>
          </cell>
          <cell r="R744" t="str">
            <v>-</v>
          </cell>
        </row>
        <row r="745">
          <cell r="A745">
            <v>1554795</v>
          </cell>
          <cell r="B745">
            <v>869</v>
          </cell>
          <cell r="C745">
            <v>6168</v>
          </cell>
          <cell r="D745" t="str">
            <v>185/60 R15</v>
          </cell>
          <cell r="E745">
            <v>84</v>
          </cell>
          <cell r="F745" t="str">
            <v>H</v>
          </cell>
          <cell r="G745" t="str">
            <v>POINT S SUMMER</v>
          </cell>
          <cell r="H745">
            <v>1554795</v>
          </cell>
          <cell r="I745">
            <v>52869</v>
          </cell>
          <cell r="J745">
            <v>0</v>
          </cell>
          <cell r="K745" t="str">
            <v>P8</v>
          </cell>
          <cell r="L745" t="str">
            <v>YGWR</v>
          </cell>
          <cell r="M745" t="str">
            <v>Y</v>
          </cell>
          <cell r="N745" t="str">
            <v>G</v>
          </cell>
          <cell r="O745" t="str">
            <v>W</v>
          </cell>
          <cell r="P745" t="str">
            <v>R</v>
          </cell>
          <cell r="Q745" t="str">
            <v/>
          </cell>
          <cell r="R745" t="str">
            <v>-</v>
          </cell>
        </row>
        <row r="746">
          <cell r="A746">
            <v>1554798</v>
          </cell>
          <cell r="B746">
            <v>868</v>
          </cell>
          <cell r="C746">
            <v>6068</v>
          </cell>
          <cell r="D746" t="str">
            <v>185/60 R15</v>
          </cell>
          <cell r="E746">
            <v>88</v>
          </cell>
          <cell r="F746" t="str">
            <v>H</v>
          </cell>
          <cell r="G746" t="str">
            <v>POINT S SUMMER XL</v>
          </cell>
          <cell r="H746">
            <v>1554798</v>
          </cell>
          <cell r="I746">
            <v>52868</v>
          </cell>
          <cell r="J746">
            <v>0</v>
          </cell>
          <cell r="K746" t="str">
            <v>P8</v>
          </cell>
          <cell r="L746" t="str">
            <v>GWGR</v>
          </cell>
          <cell r="M746" t="str">
            <v>G</v>
          </cell>
          <cell r="N746" t="str">
            <v>W</v>
          </cell>
          <cell r="O746" t="str">
            <v>G</v>
          </cell>
          <cell r="P746" t="str">
            <v>R</v>
          </cell>
          <cell r="Q746" t="str">
            <v/>
          </cell>
          <cell r="R746" t="str">
            <v>-</v>
          </cell>
        </row>
        <row r="747">
          <cell r="A747">
            <v>1554878</v>
          </cell>
          <cell r="B747">
            <v>864</v>
          </cell>
          <cell r="C747">
            <v>5286</v>
          </cell>
          <cell r="D747" t="str">
            <v>195/45 R16</v>
          </cell>
          <cell r="E747">
            <v>84</v>
          </cell>
          <cell r="F747" t="str">
            <v>V</v>
          </cell>
          <cell r="G747" t="str">
            <v>POINT S SUMMER</v>
          </cell>
          <cell r="H747">
            <v>1554878</v>
          </cell>
          <cell r="I747">
            <v>52834</v>
          </cell>
          <cell r="J747">
            <v>0</v>
          </cell>
          <cell r="K747" t="str">
            <v>P8</v>
          </cell>
          <cell r="L747" t="str">
            <v>WGAO</v>
          </cell>
          <cell r="M747" t="str">
            <v>W</v>
          </cell>
          <cell r="N747" t="str">
            <v>G</v>
          </cell>
          <cell r="O747" t="str">
            <v>A</v>
          </cell>
          <cell r="P747" t="str">
            <v>O</v>
          </cell>
          <cell r="Q747" t="str">
            <v/>
          </cell>
          <cell r="R747" t="str">
            <v>-</v>
          </cell>
        </row>
        <row r="748">
          <cell r="A748">
            <v>1554894</v>
          </cell>
          <cell r="B748">
            <v>838</v>
          </cell>
          <cell r="C748">
            <v>5037</v>
          </cell>
          <cell r="D748" t="str">
            <v>215/45 R17</v>
          </cell>
          <cell r="E748">
            <v>91</v>
          </cell>
          <cell r="F748" t="str">
            <v>Y</v>
          </cell>
          <cell r="G748" t="str">
            <v>POINT S SUMMER XL</v>
          </cell>
          <cell r="H748">
            <v>1554894</v>
          </cell>
          <cell r="I748">
            <v>52638</v>
          </cell>
          <cell r="J748">
            <v>0</v>
          </cell>
          <cell r="K748" t="str">
            <v>P4</v>
          </cell>
          <cell r="L748" t="str">
            <v>AAYRR</v>
          </cell>
          <cell r="M748" t="str">
            <v>A</v>
          </cell>
          <cell r="N748" t="str">
            <v>A</v>
          </cell>
          <cell r="O748" t="str">
            <v>Y</v>
          </cell>
          <cell r="P748" t="str">
            <v>R</v>
          </cell>
          <cell r="Q748" t="str">
            <v>R</v>
          </cell>
          <cell r="R748" t="str">
            <v>-</v>
          </cell>
        </row>
        <row r="749">
          <cell r="A749">
            <v>1554941</v>
          </cell>
          <cell r="B749">
            <v>469</v>
          </cell>
          <cell r="C749">
            <v>3096</v>
          </cell>
          <cell r="D749" t="str">
            <v>165/65 R15</v>
          </cell>
          <cell r="E749">
            <v>81</v>
          </cell>
          <cell r="F749" t="str">
            <v>T</v>
          </cell>
          <cell r="G749" t="str">
            <v>PREVENSYS 4</v>
          </cell>
          <cell r="H749">
            <v>1554941</v>
          </cell>
          <cell r="I749">
            <v>52378</v>
          </cell>
          <cell r="J749">
            <v>0</v>
          </cell>
          <cell r="K749" t="str">
            <v>P8</v>
          </cell>
          <cell r="L749" t="str">
            <v>OWG</v>
          </cell>
          <cell r="M749" t="str">
            <v>O</v>
          </cell>
          <cell r="N749" t="str">
            <v>W</v>
          </cell>
          <cell r="O749" t="str">
            <v>G</v>
          </cell>
          <cell r="P749" t="str">
            <v/>
          </cell>
          <cell r="Q749" t="str">
            <v/>
          </cell>
          <cell r="R749" t="str">
            <v>-</v>
          </cell>
        </row>
        <row r="750">
          <cell r="A750">
            <v>1554944</v>
          </cell>
          <cell r="B750">
            <v>880</v>
          </cell>
          <cell r="C750">
            <v>6060</v>
          </cell>
          <cell r="D750" t="str">
            <v>175/60 R15</v>
          </cell>
          <cell r="E750">
            <v>81</v>
          </cell>
          <cell r="F750" t="str">
            <v>H</v>
          </cell>
          <cell r="G750" t="str">
            <v>PREVENSYS 4</v>
          </cell>
          <cell r="H750">
            <v>1554944</v>
          </cell>
          <cell r="I750">
            <v>52888</v>
          </cell>
          <cell r="J750">
            <v>0</v>
          </cell>
          <cell r="K750" t="str">
            <v>P8</v>
          </cell>
          <cell r="L750" t="str">
            <v>AROY</v>
          </cell>
          <cell r="M750" t="str">
            <v>A</v>
          </cell>
          <cell r="N750" t="str">
            <v>R</v>
          </cell>
          <cell r="O750" t="str">
            <v>O</v>
          </cell>
          <cell r="P750" t="str">
            <v>Y</v>
          </cell>
          <cell r="Q750" t="str">
            <v/>
          </cell>
          <cell r="R750" t="str">
            <v>-</v>
          </cell>
        </row>
        <row r="751">
          <cell r="A751">
            <v>1554950</v>
          </cell>
          <cell r="B751">
            <v>969</v>
          </cell>
          <cell r="C751">
            <v>4063</v>
          </cell>
          <cell r="D751" t="str">
            <v>185/60 R15</v>
          </cell>
          <cell r="E751">
            <v>84</v>
          </cell>
          <cell r="F751" t="str">
            <v>H</v>
          </cell>
          <cell r="G751" t="str">
            <v>PREVENSYS 4</v>
          </cell>
          <cell r="H751">
            <v>1554950</v>
          </cell>
          <cell r="I751">
            <v>52769</v>
          </cell>
          <cell r="J751">
            <v>0</v>
          </cell>
          <cell r="K751" t="str">
            <v>P4</v>
          </cell>
          <cell r="L751" t="str">
            <v>AYO</v>
          </cell>
          <cell r="M751" t="str">
            <v>A</v>
          </cell>
          <cell r="N751" t="str">
            <v>Y</v>
          </cell>
          <cell r="O751" t="str">
            <v>O</v>
          </cell>
          <cell r="P751" t="str">
            <v/>
          </cell>
          <cell r="Q751" t="str">
            <v/>
          </cell>
          <cell r="R751" t="str">
            <v>-</v>
          </cell>
        </row>
        <row r="752">
          <cell r="A752">
            <v>1554951</v>
          </cell>
          <cell r="B752">
            <v>543</v>
          </cell>
          <cell r="C752">
            <v>6072</v>
          </cell>
          <cell r="D752" t="str">
            <v>185/60 R15</v>
          </cell>
          <cell r="E752">
            <v>88</v>
          </cell>
          <cell r="F752" t="str">
            <v>H</v>
          </cell>
          <cell r="G752" t="str">
            <v>PREVENSYS 4 XL</v>
          </cell>
          <cell r="H752">
            <v>1554951</v>
          </cell>
          <cell r="I752">
            <v>52523</v>
          </cell>
          <cell r="J752">
            <v>0</v>
          </cell>
          <cell r="K752" t="str">
            <v>P8</v>
          </cell>
          <cell r="L752" t="str">
            <v>AGRW</v>
          </cell>
          <cell r="M752" t="str">
            <v>A</v>
          </cell>
          <cell r="N752" t="str">
            <v>G</v>
          </cell>
          <cell r="O752" t="str">
            <v>R</v>
          </cell>
          <cell r="P752" t="str">
            <v>W</v>
          </cell>
          <cell r="Q752" t="str">
            <v/>
          </cell>
          <cell r="R752" t="str">
            <v>-</v>
          </cell>
        </row>
        <row r="753">
          <cell r="A753">
            <v>1554956</v>
          </cell>
          <cell r="B753">
            <v>839</v>
          </cell>
          <cell r="C753">
            <v>4077</v>
          </cell>
          <cell r="D753" t="str">
            <v>195/45 R16</v>
          </cell>
          <cell r="E753">
            <v>84</v>
          </cell>
          <cell r="F753" t="str">
            <v>V</v>
          </cell>
          <cell r="G753" t="str">
            <v>PREVENSYS 4</v>
          </cell>
          <cell r="H753">
            <v>1554956</v>
          </cell>
          <cell r="I753">
            <v>52832</v>
          </cell>
          <cell r="J753">
            <v>0</v>
          </cell>
          <cell r="K753" t="str">
            <v>P8</v>
          </cell>
          <cell r="L753" t="str">
            <v>GWRG</v>
          </cell>
          <cell r="M753" t="str">
            <v>G</v>
          </cell>
          <cell r="N753" t="str">
            <v>W</v>
          </cell>
          <cell r="O753" t="str">
            <v>R</v>
          </cell>
          <cell r="P753" t="str">
            <v>G</v>
          </cell>
          <cell r="Q753" t="str">
            <v/>
          </cell>
          <cell r="R753" t="str">
            <v>-</v>
          </cell>
        </row>
        <row r="754">
          <cell r="A754">
            <v>1554958</v>
          </cell>
          <cell r="B754">
            <v>801</v>
          </cell>
          <cell r="C754">
            <v>3077</v>
          </cell>
          <cell r="D754" t="str">
            <v>195/50 R16</v>
          </cell>
          <cell r="E754">
            <v>88</v>
          </cell>
          <cell r="F754" t="str">
            <v>V</v>
          </cell>
          <cell r="G754" t="str">
            <v>PREVENSYS 4 XL</v>
          </cell>
          <cell r="H754">
            <v>1554958</v>
          </cell>
          <cell r="I754">
            <v>52802</v>
          </cell>
          <cell r="J754">
            <v>0</v>
          </cell>
          <cell r="K754" t="str">
            <v>P8</v>
          </cell>
          <cell r="L754" t="str">
            <v>AOGY</v>
          </cell>
          <cell r="M754" t="str">
            <v>A</v>
          </cell>
          <cell r="N754" t="str">
            <v>O</v>
          </cell>
          <cell r="O754" t="str">
            <v>G</v>
          </cell>
          <cell r="P754" t="str">
            <v>Y</v>
          </cell>
          <cell r="Q754" t="str">
            <v/>
          </cell>
          <cell r="R754" t="str">
            <v>-</v>
          </cell>
        </row>
        <row r="755">
          <cell r="A755">
            <v>1554964</v>
          </cell>
          <cell r="B755">
            <v>935</v>
          </cell>
          <cell r="C755">
            <v>4065</v>
          </cell>
          <cell r="D755" t="str">
            <v>195/65 R15</v>
          </cell>
          <cell r="E755">
            <v>91</v>
          </cell>
          <cell r="F755" t="str">
            <v>H</v>
          </cell>
          <cell r="G755" t="str">
            <v>PREVENSYS</v>
          </cell>
          <cell r="H755">
            <v>1554964</v>
          </cell>
          <cell r="I755">
            <v>52835</v>
          </cell>
          <cell r="J755">
            <v>0</v>
          </cell>
          <cell r="K755" t="str">
            <v>P4</v>
          </cell>
          <cell r="L755" t="str">
            <v>AAGWA</v>
          </cell>
          <cell r="M755" t="str">
            <v>A</v>
          </cell>
          <cell r="N755" t="str">
            <v>A</v>
          </cell>
          <cell r="O755" t="str">
            <v>G</v>
          </cell>
          <cell r="P755" t="str">
            <v>W</v>
          </cell>
          <cell r="Q755" t="str">
            <v>A</v>
          </cell>
          <cell r="R755" t="str">
            <v>-</v>
          </cell>
        </row>
        <row r="756">
          <cell r="A756">
            <v>1554965</v>
          </cell>
          <cell r="B756" t="str">
            <v>-</v>
          </cell>
          <cell r="C756">
            <v>6093</v>
          </cell>
          <cell r="D756" t="str">
            <v>195/65 R15</v>
          </cell>
          <cell r="E756">
            <v>91</v>
          </cell>
          <cell r="F756" t="str">
            <v>V</v>
          </cell>
          <cell r="G756" t="str">
            <v>PREVENSYS</v>
          </cell>
          <cell r="H756">
            <v>1554965</v>
          </cell>
          <cell r="I756">
            <v>52844</v>
          </cell>
          <cell r="J756">
            <v>0</v>
          </cell>
          <cell r="K756" t="str">
            <v>P4</v>
          </cell>
          <cell r="L756" t="str">
            <v>GRWOG</v>
          </cell>
          <cell r="M756" t="str">
            <v>G</v>
          </cell>
          <cell r="N756" t="str">
            <v>R</v>
          </cell>
          <cell r="O756" t="str">
            <v>W</v>
          </cell>
          <cell r="P756" t="str">
            <v>O</v>
          </cell>
          <cell r="Q756" t="str">
            <v>G</v>
          </cell>
          <cell r="R756" t="str">
            <v>-</v>
          </cell>
        </row>
        <row r="757">
          <cell r="A757">
            <v>1554966</v>
          </cell>
          <cell r="B757">
            <v>901</v>
          </cell>
          <cell r="C757">
            <v>4087</v>
          </cell>
          <cell r="D757" t="str">
            <v>205/45 R17</v>
          </cell>
          <cell r="E757">
            <v>88</v>
          </cell>
          <cell r="F757" t="str">
            <v>W</v>
          </cell>
          <cell r="G757" t="str">
            <v>PREVENSYS 4 XL</v>
          </cell>
          <cell r="H757">
            <v>1554966</v>
          </cell>
          <cell r="I757">
            <v>52801</v>
          </cell>
          <cell r="J757">
            <v>0</v>
          </cell>
          <cell r="K757" t="str">
            <v>P4</v>
          </cell>
          <cell r="L757" t="str">
            <v>AAAR</v>
          </cell>
          <cell r="M757" t="str">
            <v>A</v>
          </cell>
          <cell r="N757" t="str">
            <v>A</v>
          </cell>
          <cell r="O757" t="str">
            <v>A</v>
          </cell>
          <cell r="P757" t="str">
            <v>R</v>
          </cell>
          <cell r="Q757" t="str">
            <v/>
          </cell>
          <cell r="R757" t="str">
            <v>-</v>
          </cell>
        </row>
        <row r="758">
          <cell r="A758">
            <v>1554967</v>
          </cell>
          <cell r="B758" t="str">
            <v>-</v>
          </cell>
          <cell r="C758">
            <v>6076</v>
          </cell>
          <cell r="D758" t="str">
            <v>205/50 R17</v>
          </cell>
          <cell r="E758">
            <v>93</v>
          </cell>
          <cell r="F758" t="str">
            <v>W</v>
          </cell>
          <cell r="G758" t="str">
            <v>PREVENSYS XL</v>
          </cell>
          <cell r="H758">
            <v>1554967</v>
          </cell>
          <cell r="I758">
            <v>52876</v>
          </cell>
          <cell r="J758">
            <v>0</v>
          </cell>
          <cell r="K758" t="str">
            <v>P0</v>
          </cell>
          <cell r="L758" t="str">
            <v>YWR</v>
          </cell>
          <cell r="M758" t="str">
            <v>Y</v>
          </cell>
          <cell r="N758" t="str">
            <v>W</v>
          </cell>
          <cell r="O758" t="str">
            <v>R</v>
          </cell>
          <cell r="P758" t="str">
            <v/>
          </cell>
          <cell r="Q758" t="str">
            <v/>
          </cell>
          <cell r="R758" t="str">
            <v>-</v>
          </cell>
        </row>
        <row r="759">
          <cell r="A759">
            <v>1554971</v>
          </cell>
          <cell r="B759">
            <v>800</v>
          </cell>
          <cell r="C759">
            <v>4081</v>
          </cell>
          <cell r="D759" t="str">
            <v>205/55 R17</v>
          </cell>
          <cell r="E759">
            <v>95</v>
          </cell>
          <cell r="F759" t="str">
            <v>V</v>
          </cell>
          <cell r="G759" t="str">
            <v>PREVENSYS 4 XL</v>
          </cell>
          <cell r="H759">
            <v>1554971</v>
          </cell>
          <cell r="I759">
            <v>52806</v>
          </cell>
          <cell r="J759">
            <v>0</v>
          </cell>
          <cell r="K759" t="str">
            <v>P4</v>
          </cell>
          <cell r="L759" t="str">
            <v>RRAGY</v>
          </cell>
          <cell r="M759" t="str">
            <v>R</v>
          </cell>
          <cell r="N759" t="str">
            <v>R</v>
          </cell>
          <cell r="O759" t="str">
            <v>A</v>
          </cell>
          <cell r="P759" t="str">
            <v>G</v>
          </cell>
          <cell r="Q759" t="str">
            <v>Y</v>
          </cell>
          <cell r="R759" t="str">
            <v>-</v>
          </cell>
        </row>
        <row r="760">
          <cell r="A760">
            <v>1554976</v>
          </cell>
          <cell r="B760">
            <v>849</v>
          </cell>
          <cell r="C760">
            <v>4048</v>
          </cell>
          <cell r="D760" t="str">
            <v>215/45 R17</v>
          </cell>
          <cell r="E760">
            <v>91</v>
          </cell>
          <cell r="F760" t="str">
            <v>Y</v>
          </cell>
          <cell r="G760" t="str">
            <v>PREVENSYS 4 XL</v>
          </cell>
          <cell r="H760">
            <v>1554976</v>
          </cell>
          <cell r="I760">
            <v>52839</v>
          </cell>
          <cell r="J760">
            <v>0</v>
          </cell>
          <cell r="K760" t="str">
            <v>P4</v>
          </cell>
          <cell r="L760" t="str">
            <v>ARAAA</v>
          </cell>
          <cell r="M760" t="str">
            <v>A</v>
          </cell>
          <cell r="N760" t="str">
            <v>R</v>
          </cell>
          <cell r="O760" t="str">
            <v>A</v>
          </cell>
          <cell r="P760" t="str">
            <v>A</v>
          </cell>
          <cell r="Q760" t="str">
            <v>A</v>
          </cell>
          <cell r="R760" t="str">
            <v>-</v>
          </cell>
        </row>
        <row r="761">
          <cell r="A761">
            <v>1554977</v>
          </cell>
          <cell r="B761">
            <v>784</v>
          </cell>
          <cell r="C761">
            <v>2012</v>
          </cell>
          <cell r="D761" t="str">
            <v>215/50 R17</v>
          </cell>
          <cell r="E761">
            <v>95</v>
          </cell>
          <cell r="F761" t="str">
            <v>W</v>
          </cell>
          <cell r="G761" t="str">
            <v>PREVENSYS 4 XL</v>
          </cell>
          <cell r="H761">
            <v>1554977</v>
          </cell>
          <cell r="I761">
            <v>52584</v>
          </cell>
          <cell r="J761">
            <v>0</v>
          </cell>
          <cell r="K761" t="str">
            <v>P4</v>
          </cell>
          <cell r="L761" t="str">
            <v>WOAOO</v>
          </cell>
          <cell r="M761" t="str">
            <v>W</v>
          </cell>
          <cell r="N761" t="str">
            <v>O</v>
          </cell>
          <cell r="O761" t="str">
            <v>A</v>
          </cell>
          <cell r="P761" t="str">
            <v>O</v>
          </cell>
          <cell r="Q761" t="str">
            <v>O</v>
          </cell>
          <cell r="R761" t="str">
            <v>-</v>
          </cell>
        </row>
        <row r="762">
          <cell r="A762">
            <v>1554982</v>
          </cell>
          <cell r="B762">
            <v>822</v>
          </cell>
          <cell r="C762">
            <v>3184</v>
          </cell>
          <cell r="D762" t="str">
            <v>215/55 R18</v>
          </cell>
          <cell r="E762">
            <v>99</v>
          </cell>
          <cell r="F762" t="str">
            <v>V</v>
          </cell>
          <cell r="G762" t="str">
            <v>PREVENSYS 4 XL</v>
          </cell>
          <cell r="H762">
            <v>1554982</v>
          </cell>
          <cell r="I762">
            <v>52821</v>
          </cell>
          <cell r="J762">
            <v>0</v>
          </cell>
          <cell r="K762" t="str">
            <v>P4</v>
          </cell>
          <cell r="L762" t="str">
            <v>YYW</v>
          </cell>
          <cell r="M762" t="str">
            <v>Y</v>
          </cell>
          <cell r="N762" t="str">
            <v>Y</v>
          </cell>
          <cell r="O762" t="str">
            <v>W</v>
          </cell>
          <cell r="P762" t="str">
            <v/>
          </cell>
          <cell r="Q762" t="str">
            <v/>
          </cell>
          <cell r="R762" t="str">
            <v>-</v>
          </cell>
        </row>
        <row r="763">
          <cell r="A763">
            <v>1554990</v>
          </cell>
          <cell r="B763">
            <v>956</v>
          </cell>
          <cell r="C763">
            <v>6052</v>
          </cell>
          <cell r="D763" t="str">
            <v>225/45 R17</v>
          </cell>
          <cell r="E763">
            <v>94</v>
          </cell>
          <cell r="F763" t="str">
            <v>Y</v>
          </cell>
          <cell r="G763" t="str">
            <v>PREVENSYS 4 XL</v>
          </cell>
          <cell r="H763">
            <v>1554990</v>
          </cell>
          <cell r="I763">
            <v>52856</v>
          </cell>
          <cell r="J763">
            <v>0</v>
          </cell>
          <cell r="K763" t="str">
            <v>P4</v>
          </cell>
          <cell r="L763" t="str">
            <v>GGGGW</v>
          </cell>
          <cell r="M763" t="str">
            <v>G</v>
          </cell>
          <cell r="N763" t="str">
            <v>G</v>
          </cell>
          <cell r="O763" t="str">
            <v>G</v>
          </cell>
          <cell r="P763" t="str">
            <v>G</v>
          </cell>
          <cell r="Q763" t="str">
            <v>W</v>
          </cell>
          <cell r="R763" t="str">
            <v>-</v>
          </cell>
        </row>
        <row r="764">
          <cell r="A764">
            <v>1554994</v>
          </cell>
          <cell r="B764">
            <v>853</v>
          </cell>
          <cell r="C764">
            <v>4049</v>
          </cell>
          <cell r="D764" t="str">
            <v>225/55 R18</v>
          </cell>
          <cell r="E764">
            <v>98</v>
          </cell>
          <cell r="F764" t="str">
            <v>V</v>
          </cell>
          <cell r="G764" t="str">
            <v>PREVENSYS 4</v>
          </cell>
          <cell r="H764">
            <v>1554994</v>
          </cell>
          <cell r="I764">
            <v>52854</v>
          </cell>
          <cell r="J764">
            <v>0</v>
          </cell>
          <cell r="K764" t="str">
            <v>P4</v>
          </cell>
          <cell r="L764" t="str">
            <v>RRRWG</v>
          </cell>
          <cell r="M764" t="str">
            <v>R</v>
          </cell>
          <cell r="N764" t="str">
            <v>R</v>
          </cell>
          <cell r="O764" t="str">
            <v>R</v>
          </cell>
          <cell r="P764" t="str">
            <v>W</v>
          </cell>
          <cell r="Q764" t="str">
            <v>G</v>
          </cell>
          <cell r="R764" t="str">
            <v>-</v>
          </cell>
        </row>
        <row r="765">
          <cell r="A765">
            <v>1554995</v>
          </cell>
          <cell r="B765">
            <v>893</v>
          </cell>
          <cell r="C765">
            <v>4018</v>
          </cell>
          <cell r="D765" t="str">
            <v>225/60 R17</v>
          </cell>
          <cell r="E765">
            <v>99</v>
          </cell>
          <cell r="F765" t="str">
            <v>V</v>
          </cell>
          <cell r="G765" t="str">
            <v>PREVENSYS 4</v>
          </cell>
          <cell r="H765">
            <v>1554995</v>
          </cell>
          <cell r="I765">
            <v>52793</v>
          </cell>
          <cell r="J765">
            <v>0</v>
          </cell>
          <cell r="K765" t="str">
            <v>P4</v>
          </cell>
          <cell r="L765" t="str">
            <v>RRROW</v>
          </cell>
          <cell r="M765" t="str">
            <v>R</v>
          </cell>
          <cell r="N765" t="str">
            <v>R</v>
          </cell>
          <cell r="O765" t="str">
            <v>R</v>
          </cell>
          <cell r="P765" t="str">
            <v>O</v>
          </cell>
          <cell r="Q765" t="str">
            <v>W</v>
          </cell>
          <cell r="R765" t="str">
            <v>-</v>
          </cell>
        </row>
        <row r="766">
          <cell r="A766">
            <v>1554997</v>
          </cell>
          <cell r="B766">
            <v>873</v>
          </cell>
          <cell r="C766">
            <v>4051</v>
          </cell>
          <cell r="D766" t="str">
            <v>235/45 R18</v>
          </cell>
          <cell r="E766">
            <v>98</v>
          </cell>
          <cell r="F766" t="str">
            <v>Y</v>
          </cell>
          <cell r="G766" t="str">
            <v>PREVENSYS 4 XL</v>
          </cell>
          <cell r="H766">
            <v>1554997</v>
          </cell>
          <cell r="I766">
            <v>52773</v>
          </cell>
          <cell r="J766">
            <v>0</v>
          </cell>
          <cell r="K766" t="str">
            <v>P4</v>
          </cell>
          <cell r="L766" t="str">
            <v>AOG</v>
          </cell>
          <cell r="M766" t="str">
            <v>A</v>
          </cell>
          <cell r="N766" t="str">
            <v>O</v>
          </cell>
          <cell r="O766" t="str">
            <v>G</v>
          </cell>
          <cell r="P766" t="str">
            <v/>
          </cell>
          <cell r="Q766" t="str">
            <v/>
          </cell>
          <cell r="R766" t="str">
            <v>-</v>
          </cell>
        </row>
        <row r="767">
          <cell r="A767">
            <v>1554999</v>
          </cell>
          <cell r="B767" t="str">
            <v>-</v>
          </cell>
          <cell r="C767">
            <v>3098</v>
          </cell>
          <cell r="D767" t="str">
            <v>235/60 R18</v>
          </cell>
          <cell r="E767">
            <v>107</v>
          </cell>
          <cell r="F767" t="str">
            <v>W</v>
          </cell>
          <cell r="G767" t="str">
            <v>PREVENSYS XL</v>
          </cell>
          <cell r="H767">
            <v>1554999</v>
          </cell>
          <cell r="I767">
            <v>52498</v>
          </cell>
          <cell r="J767">
            <v>0</v>
          </cell>
          <cell r="K767" t="str">
            <v>P5</v>
          </cell>
          <cell r="L767" t="str">
            <v>AAWR</v>
          </cell>
          <cell r="M767" t="str">
            <v>A</v>
          </cell>
          <cell r="N767" t="str">
            <v>A</v>
          </cell>
          <cell r="O767" t="str">
            <v>W</v>
          </cell>
          <cell r="P767" t="str">
            <v>R</v>
          </cell>
          <cell r="Q767" t="str">
            <v/>
          </cell>
          <cell r="R767" t="str">
            <v>-</v>
          </cell>
        </row>
        <row r="768">
          <cell r="A768">
            <v>1555281</v>
          </cell>
          <cell r="B768">
            <v>587</v>
          </cell>
          <cell r="C768">
            <v>417</v>
          </cell>
          <cell r="D768" t="str">
            <v>185/65 R15</v>
          </cell>
          <cell r="E768">
            <v>88</v>
          </cell>
          <cell r="F768" t="str">
            <v>H</v>
          </cell>
          <cell r="G768" t="str">
            <v>4-SEASON</v>
          </cell>
          <cell r="H768">
            <v>1555281</v>
          </cell>
          <cell r="I768">
            <v>52587</v>
          </cell>
          <cell r="J768">
            <v>0</v>
          </cell>
          <cell r="K768" t="str">
            <v>P4</v>
          </cell>
          <cell r="L768" t="str">
            <v>AGOWY</v>
          </cell>
          <cell r="M768" t="str">
            <v>A</v>
          </cell>
          <cell r="N768" t="str">
            <v>G</v>
          </cell>
          <cell r="O768" t="str">
            <v>O</v>
          </cell>
          <cell r="P768" t="str">
            <v>W</v>
          </cell>
          <cell r="Q768" t="str">
            <v>Y</v>
          </cell>
          <cell r="R768" t="str">
            <v>-</v>
          </cell>
        </row>
        <row r="769">
          <cell r="A769">
            <v>1555283</v>
          </cell>
          <cell r="B769">
            <v>528</v>
          </cell>
          <cell r="C769">
            <v>3075</v>
          </cell>
          <cell r="D769" t="str">
            <v>185/60 R15</v>
          </cell>
          <cell r="E769">
            <v>88</v>
          </cell>
          <cell r="F769" t="str">
            <v>H</v>
          </cell>
          <cell r="G769" t="str">
            <v>4-SEASON XL</v>
          </cell>
          <cell r="H769">
            <v>1555283</v>
          </cell>
          <cell r="I769">
            <v>52436</v>
          </cell>
          <cell r="J769">
            <v>0</v>
          </cell>
          <cell r="K769" t="str">
            <v>P4</v>
          </cell>
          <cell r="L769" t="str">
            <v>GOR</v>
          </cell>
          <cell r="M769" t="str">
            <v>G</v>
          </cell>
          <cell r="N769" t="str">
            <v>O</v>
          </cell>
          <cell r="O769" t="str">
            <v>R</v>
          </cell>
          <cell r="P769" t="str">
            <v/>
          </cell>
          <cell r="Q769" t="str">
            <v/>
          </cell>
          <cell r="R769" t="str">
            <v>-</v>
          </cell>
        </row>
        <row r="770">
          <cell r="A770">
            <v>1555331</v>
          </cell>
          <cell r="B770">
            <v>429</v>
          </cell>
          <cell r="C770">
            <v>4066</v>
          </cell>
          <cell r="D770" t="str">
            <v>185/55 R16</v>
          </cell>
          <cell r="E770">
            <v>83</v>
          </cell>
          <cell r="F770" t="str">
            <v>H</v>
          </cell>
          <cell r="G770" t="str">
            <v>EURODRIVE 3</v>
          </cell>
          <cell r="H770">
            <v>1555331</v>
          </cell>
          <cell r="I770">
            <v>52425</v>
          </cell>
          <cell r="J770">
            <v>0</v>
          </cell>
          <cell r="K770" t="str">
            <v>P8</v>
          </cell>
          <cell r="L770" t="str">
            <v>ROGO</v>
          </cell>
          <cell r="M770" t="str">
            <v>R</v>
          </cell>
          <cell r="N770" t="str">
            <v>O</v>
          </cell>
          <cell r="O770" t="str">
            <v>G</v>
          </cell>
          <cell r="P770" t="str">
            <v>O</v>
          </cell>
          <cell r="Q770" t="str">
            <v/>
          </cell>
          <cell r="R770" t="str">
            <v>-</v>
          </cell>
        </row>
        <row r="771">
          <cell r="A771">
            <v>1555350</v>
          </cell>
          <cell r="B771">
            <v>582</v>
          </cell>
          <cell r="C771">
            <v>6025</v>
          </cell>
          <cell r="D771" t="str">
            <v>185/65 R15</v>
          </cell>
          <cell r="E771">
            <v>88</v>
          </cell>
          <cell r="F771" t="str">
            <v>H</v>
          </cell>
          <cell r="G771" t="str">
            <v>ALLSEASON</v>
          </cell>
          <cell r="H771">
            <v>1555350</v>
          </cell>
          <cell r="I771">
            <v>52576</v>
          </cell>
          <cell r="J771">
            <v>0</v>
          </cell>
          <cell r="K771" t="str">
            <v>P4</v>
          </cell>
          <cell r="L771" t="str">
            <v>A</v>
          </cell>
          <cell r="M771" t="str">
            <v>A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>-</v>
          </cell>
        </row>
        <row r="772">
          <cell r="A772">
            <v>1555358</v>
          </cell>
          <cell r="B772">
            <v>790</v>
          </cell>
          <cell r="C772">
            <v>3049</v>
          </cell>
          <cell r="D772" t="str">
            <v>215/55 R16</v>
          </cell>
          <cell r="E772">
            <v>97</v>
          </cell>
          <cell r="F772" t="str">
            <v>V</v>
          </cell>
          <cell r="G772" t="str">
            <v>ALLSEASON XL</v>
          </cell>
          <cell r="H772">
            <v>1555358</v>
          </cell>
          <cell r="I772">
            <v>52692</v>
          </cell>
          <cell r="J772">
            <v>0</v>
          </cell>
          <cell r="K772" t="str">
            <v>P4</v>
          </cell>
          <cell r="L772" t="str">
            <v>GWGOR</v>
          </cell>
          <cell r="M772" t="str">
            <v>G</v>
          </cell>
          <cell r="N772" t="str">
            <v>W</v>
          </cell>
          <cell r="O772" t="str">
            <v>G</v>
          </cell>
          <cell r="P772" t="str">
            <v>O</v>
          </cell>
          <cell r="Q772" t="str">
            <v>R</v>
          </cell>
          <cell r="R772" t="str">
            <v>-</v>
          </cell>
        </row>
        <row r="773">
          <cell r="A773">
            <v>1555364</v>
          </cell>
          <cell r="B773">
            <v>911</v>
          </cell>
          <cell r="C773">
            <v>4110</v>
          </cell>
          <cell r="D773" t="str">
            <v>205/50 R17</v>
          </cell>
          <cell r="E773">
            <v>93</v>
          </cell>
          <cell r="F773" t="str">
            <v>V</v>
          </cell>
          <cell r="G773" t="str">
            <v>ALLSEASON XL</v>
          </cell>
          <cell r="H773">
            <v>1555364</v>
          </cell>
          <cell r="I773">
            <v>52811</v>
          </cell>
          <cell r="J773">
            <v>0</v>
          </cell>
          <cell r="K773" t="str">
            <v>P4</v>
          </cell>
          <cell r="L773" t="str">
            <v>RRAGW</v>
          </cell>
          <cell r="M773" t="str">
            <v>R</v>
          </cell>
          <cell r="N773" t="str">
            <v>R</v>
          </cell>
          <cell r="O773" t="str">
            <v>A</v>
          </cell>
          <cell r="P773" t="str">
            <v>G</v>
          </cell>
          <cell r="Q773" t="str">
            <v>W</v>
          </cell>
          <cell r="R773" t="str">
            <v>-</v>
          </cell>
        </row>
        <row r="774">
          <cell r="A774">
            <v>1555373</v>
          </cell>
          <cell r="B774">
            <v>614</v>
          </cell>
          <cell r="C774">
            <v>4192</v>
          </cell>
          <cell r="D774" t="str">
            <v>185/60 R15</v>
          </cell>
          <cell r="E774">
            <v>88</v>
          </cell>
          <cell r="F774" t="str">
            <v>H</v>
          </cell>
          <cell r="G774" t="str">
            <v>4-SEASON 2 XL</v>
          </cell>
          <cell r="H774">
            <v>1555373</v>
          </cell>
          <cell r="I774">
            <v>52613</v>
          </cell>
          <cell r="J774">
            <v>0</v>
          </cell>
          <cell r="K774" t="str">
            <v>P4</v>
          </cell>
          <cell r="L774" t="str">
            <v>RROGA</v>
          </cell>
          <cell r="M774" t="str">
            <v>R</v>
          </cell>
          <cell r="N774" t="str">
            <v>R</v>
          </cell>
          <cell r="O774" t="str">
            <v>O</v>
          </cell>
          <cell r="P774" t="str">
            <v>G</v>
          </cell>
          <cell r="Q774" t="str">
            <v>A</v>
          </cell>
          <cell r="R774" t="str">
            <v>-</v>
          </cell>
        </row>
        <row r="775">
          <cell r="A775">
            <v>1555375</v>
          </cell>
          <cell r="B775">
            <v>301</v>
          </cell>
          <cell r="C775">
            <v>6012</v>
          </cell>
          <cell r="D775" t="str">
            <v>185/65 R15</v>
          </cell>
          <cell r="E775">
            <v>88</v>
          </cell>
          <cell r="F775" t="str">
            <v>T</v>
          </cell>
          <cell r="G775" t="str">
            <v>4-SEASON 2</v>
          </cell>
          <cell r="H775">
            <v>1555375</v>
          </cell>
          <cell r="I775">
            <v>52309</v>
          </cell>
          <cell r="J775">
            <v>0</v>
          </cell>
          <cell r="K775" t="str">
            <v>P4</v>
          </cell>
          <cell r="L775" t="str">
            <v>RWWO</v>
          </cell>
          <cell r="M775" t="str">
            <v>R</v>
          </cell>
          <cell r="N775" t="str">
            <v>W</v>
          </cell>
          <cell r="O775" t="str">
            <v>W</v>
          </cell>
          <cell r="P775" t="str">
            <v>O</v>
          </cell>
          <cell r="Q775" t="str">
            <v/>
          </cell>
          <cell r="R775" t="str">
            <v>-</v>
          </cell>
        </row>
        <row r="776">
          <cell r="A776">
            <v>1555376</v>
          </cell>
          <cell r="B776">
            <v>270</v>
          </cell>
          <cell r="C776">
            <v>6112</v>
          </cell>
          <cell r="D776" t="str">
            <v>185/65 R15</v>
          </cell>
          <cell r="E776">
            <v>88</v>
          </cell>
          <cell r="F776" t="str">
            <v>H</v>
          </cell>
          <cell r="G776" t="str">
            <v>4-SEASON 2</v>
          </cell>
          <cell r="H776">
            <v>1555376</v>
          </cell>
          <cell r="I776">
            <v>52470</v>
          </cell>
          <cell r="J776">
            <v>0</v>
          </cell>
          <cell r="K776" t="str">
            <v>P4</v>
          </cell>
          <cell r="L776" t="str">
            <v>YWOA</v>
          </cell>
          <cell r="M776" t="str">
            <v>Y</v>
          </cell>
          <cell r="N776" t="str">
            <v>W</v>
          </cell>
          <cell r="O776" t="str">
            <v>O</v>
          </cell>
          <cell r="P776" t="str">
            <v>A</v>
          </cell>
          <cell r="Q776" t="str">
            <v/>
          </cell>
          <cell r="R776" t="str">
            <v>-</v>
          </cell>
        </row>
        <row r="777">
          <cell r="A777">
            <v>1555483</v>
          </cell>
          <cell r="B777">
            <v>614</v>
          </cell>
          <cell r="C777">
            <v>4192</v>
          </cell>
          <cell r="D777" t="str">
            <v>185/60 R15</v>
          </cell>
          <cell r="E777">
            <v>88</v>
          </cell>
          <cell r="F777" t="str">
            <v>H</v>
          </cell>
          <cell r="G777" t="str">
            <v>EFFICIENCY XL</v>
          </cell>
          <cell r="H777">
            <v>1555483</v>
          </cell>
          <cell r="I777">
            <v>52613</v>
          </cell>
          <cell r="J777">
            <v>0</v>
          </cell>
          <cell r="K777" t="str">
            <v>P4</v>
          </cell>
          <cell r="L777" t="str">
            <v>RROGA</v>
          </cell>
          <cell r="M777" t="str">
            <v>R</v>
          </cell>
          <cell r="N777" t="str">
            <v>R</v>
          </cell>
          <cell r="O777" t="str">
            <v>O</v>
          </cell>
          <cell r="P777" t="str">
            <v>G</v>
          </cell>
          <cell r="Q777" t="str">
            <v>A</v>
          </cell>
          <cell r="R777" t="str">
            <v>-</v>
          </cell>
        </row>
        <row r="778">
          <cell r="A778">
            <v>1555484</v>
          </cell>
          <cell r="B778">
            <v>856</v>
          </cell>
          <cell r="C778">
            <v>4059</v>
          </cell>
          <cell r="D778" t="str">
            <v>185/65 R15</v>
          </cell>
          <cell r="E778">
            <v>92</v>
          </cell>
          <cell r="F778" t="str">
            <v>V</v>
          </cell>
          <cell r="G778" t="str">
            <v>EFFICIENCY ALLSEASO XL</v>
          </cell>
          <cell r="H778">
            <v>1555484</v>
          </cell>
          <cell r="I778">
            <v>52855</v>
          </cell>
          <cell r="J778">
            <v>0</v>
          </cell>
          <cell r="K778" t="str">
            <v>P4</v>
          </cell>
          <cell r="L778" t="str">
            <v>AWR</v>
          </cell>
          <cell r="M778" t="str">
            <v>A</v>
          </cell>
          <cell r="N778" t="str">
            <v>W</v>
          </cell>
          <cell r="O778" t="str">
            <v>R</v>
          </cell>
          <cell r="P778" t="str">
            <v/>
          </cell>
          <cell r="Q778" t="str">
            <v/>
          </cell>
          <cell r="R778" t="str">
            <v>-</v>
          </cell>
        </row>
        <row r="779">
          <cell r="A779">
            <v>1555487</v>
          </cell>
          <cell r="B779">
            <v>409</v>
          </cell>
          <cell r="C779">
            <v>6026</v>
          </cell>
          <cell r="D779" t="str">
            <v>205/50 R17</v>
          </cell>
          <cell r="E779">
            <v>93</v>
          </cell>
          <cell r="F779" t="str">
            <v>W</v>
          </cell>
          <cell r="G779" t="str">
            <v>EFFICIENCY ALL SEAS XL</v>
          </cell>
          <cell r="H779">
            <v>1555487</v>
          </cell>
          <cell r="I779">
            <v>52409</v>
          </cell>
          <cell r="J779">
            <v>0</v>
          </cell>
          <cell r="K779" t="str">
            <v>P4</v>
          </cell>
          <cell r="L779" t="str">
            <v>AGOGO</v>
          </cell>
          <cell r="M779" t="str">
            <v>A</v>
          </cell>
          <cell r="N779" t="str">
            <v>G</v>
          </cell>
          <cell r="O779" t="str">
            <v>O</v>
          </cell>
          <cell r="P779" t="str">
            <v>G</v>
          </cell>
          <cell r="Q779" t="str">
            <v>O</v>
          </cell>
          <cell r="R779" t="str">
            <v>-</v>
          </cell>
        </row>
        <row r="780">
          <cell r="A780">
            <v>1555519</v>
          </cell>
          <cell r="B780" t="str">
            <v>-</v>
          </cell>
          <cell r="C780">
            <v>4192</v>
          </cell>
          <cell r="D780" t="str">
            <v>185/60 R15</v>
          </cell>
          <cell r="E780">
            <v>88</v>
          </cell>
          <cell r="F780" t="str">
            <v>H</v>
          </cell>
          <cell r="G780" t="str">
            <v>BESTDRIVE ALL SEAS XL</v>
          </cell>
          <cell r="H780">
            <v>1555519</v>
          </cell>
          <cell r="I780">
            <v>52613</v>
          </cell>
          <cell r="J780">
            <v>0</v>
          </cell>
          <cell r="K780" t="str">
            <v>P0</v>
          </cell>
          <cell r="L780" t="str">
            <v>RROGA</v>
          </cell>
          <cell r="M780" t="str">
            <v>R</v>
          </cell>
          <cell r="N780" t="str">
            <v>R</v>
          </cell>
          <cell r="O780" t="str">
            <v>O</v>
          </cell>
          <cell r="P780" t="str">
            <v>G</v>
          </cell>
          <cell r="Q780" t="str">
            <v>A</v>
          </cell>
          <cell r="R780" t="str">
            <v>-</v>
          </cell>
        </row>
        <row r="781">
          <cell r="A781">
            <v>1555520</v>
          </cell>
          <cell r="B781">
            <v>714</v>
          </cell>
          <cell r="C781">
            <v>2043</v>
          </cell>
          <cell r="D781" t="str">
            <v>185/65 R15</v>
          </cell>
          <cell r="E781">
            <v>92</v>
          </cell>
          <cell r="F781" t="str">
            <v>H</v>
          </cell>
          <cell r="G781" t="str">
            <v>BESTDRIVE XL</v>
          </cell>
          <cell r="H781">
            <v>1555520</v>
          </cell>
          <cell r="I781">
            <v>52764</v>
          </cell>
          <cell r="J781">
            <v>0</v>
          </cell>
          <cell r="K781" t="str">
            <v>P4</v>
          </cell>
          <cell r="L781" t="str">
            <v>AAAOW</v>
          </cell>
          <cell r="M781" t="str">
            <v>A</v>
          </cell>
          <cell r="N781" t="str">
            <v>A</v>
          </cell>
          <cell r="O781" t="str">
            <v>A</v>
          </cell>
          <cell r="P781" t="str">
            <v>O</v>
          </cell>
          <cell r="Q781" t="str">
            <v>W</v>
          </cell>
          <cell r="R781" t="str">
            <v>-</v>
          </cell>
        </row>
        <row r="782">
          <cell r="A782">
            <v>1555524</v>
          </cell>
          <cell r="B782">
            <v>332</v>
          </cell>
          <cell r="C782">
            <v>28</v>
          </cell>
          <cell r="D782" t="str">
            <v>205/50 R17</v>
          </cell>
          <cell r="E782">
            <v>93</v>
          </cell>
          <cell r="F782" t="str">
            <v>V</v>
          </cell>
          <cell r="G782" t="str">
            <v>ALLSEASON XL</v>
          </cell>
          <cell r="H782">
            <v>1555524</v>
          </cell>
          <cell r="I782">
            <v>52181</v>
          </cell>
          <cell r="J782">
            <v>0</v>
          </cell>
          <cell r="K782" t="str">
            <v>P4</v>
          </cell>
          <cell r="L782" t="str">
            <v>AGW</v>
          </cell>
          <cell r="M782" t="str">
            <v>A</v>
          </cell>
          <cell r="N782" t="str">
            <v>G</v>
          </cell>
          <cell r="O782" t="str">
            <v>W</v>
          </cell>
          <cell r="P782" t="str">
            <v/>
          </cell>
          <cell r="Q782" t="str">
            <v/>
          </cell>
          <cell r="R782" t="str">
            <v>-</v>
          </cell>
        </row>
        <row r="783">
          <cell r="A783">
            <v>1555527</v>
          </cell>
          <cell r="B783">
            <v>362</v>
          </cell>
          <cell r="C783">
            <v>3109</v>
          </cell>
          <cell r="D783" t="str">
            <v>205/55 R17</v>
          </cell>
          <cell r="E783">
            <v>95</v>
          </cell>
          <cell r="F783" t="str">
            <v>V</v>
          </cell>
          <cell r="G783" t="str">
            <v>BESTDRIVE XL</v>
          </cell>
          <cell r="H783">
            <v>1555527</v>
          </cell>
          <cell r="I783">
            <v>52362</v>
          </cell>
          <cell r="J783">
            <v>0</v>
          </cell>
          <cell r="K783" t="str">
            <v>P4</v>
          </cell>
          <cell r="L783" t="str">
            <v>RYAGO</v>
          </cell>
          <cell r="M783" t="str">
            <v>R</v>
          </cell>
          <cell r="N783" t="str">
            <v>Y</v>
          </cell>
          <cell r="O783" t="str">
            <v>A</v>
          </cell>
          <cell r="P783" t="str">
            <v>G</v>
          </cell>
          <cell r="Q783" t="str">
            <v>O</v>
          </cell>
          <cell r="R783" t="str">
            <v>-</v>
          </cell>
        </row>
        <row r="784">
          <cell r="A784">
            <v>1555530</v>
          </cell>
          <cell r="B784" t="str">
            <v>-</v>
          </cell>
          <cell r="C784">
            <v>5212</v>
          </cell>
          <cell r="D784" t="str">
            <v>215/55 R18</v>
          </cell>
          <cell r="E784">
            <v>99</v>
          </cell>
          <cell r="F784" t="str">
            <v>V</v>
          </cell>
          <cell r="G784" t="str">
            <v>ALLSEASON XL</v>
          </cell>
          <cell r="H784">
            <v>1555530</v>
          </cell>
          <cell r="I784">
            <v>52166</v>
          </cell>
          <cell r="J784">
            <v>0</v>
          </cell>
          <cell r="K784" t="str">
            <v>P4</v>
          </cell>
          <cell r="L784" t="str">
            <v>RRRRY</v>
          </cell>
          <cell r="M784" t="str">
            <v>R</v>
          </cell>
          <cell r="N784" t="str">
            <v>R</v>
          </cell>
          <cell r="O784" t="str">
            <v>R</v>
          </cell>
          <cell r="P784" t="str">
            <v>R</v>
          </cell>
          <cell r="Q784" t="str">
            <v>Y</v>
          </cell>
          <cell r="R784" t="str">
            <v>-</v>
          </cell>
        </row>
        <row r="785">
          <cell r="A785">
            <v>1555531</v>
          </cell>
          <cell r="B785">
            <v>620</v>
          </cell>
          <cell r="C785">
            <v>3172</v>
          </cell>
          <cell r="D785" t="str">
            <v>215/60 R17</v>
          </cell>
          <cell r="E785">
            <v>96</v>
          </cell>
          <cell r="F785" t="str">
            <v>H</v>
          </cell>
          <cell r="G785" t="str">
            <v>BESTDRIVE ALL SEAS</v>
          </cell>
          <cell r="H785">
            <v>1555531</v>
          </cell>
          <cell r="I785">
            <v>52624</v>
          </cell>
          <cell r="J785">
            <v>0</v>
          </cell>
          <cell r="K785" t="str">
            <v>P4</v>
          </cell>
          <cell r="L785" t="str">
            <v>YWWOR</v>
          </cell>
          <cell r="M785" t="str">
            <v>Y</v>
          </cell>
          <cell r="N785" t="str">
            <v>W</v>
          </cell>
          <cell r="O785" t="str">
            <v>W</v>
          </cell>
          <cell r="P785" t="str">
            <v>O</v>
          </cell>
          <cell r="Q785" t="str">
            <v>R</v>
          </cell>
          <cell r="R785" t="str">
            <v>-</v>
          </cell>
        </row>
        <row r="786">
          <cell r="A786">
            <v>1555538</v>
          </cell>
          <cell r="B786">
            <v>702</v>
          </cell>
          <cell r="C786">
            <v>4022</v>
          </cell>
          <cell r="D786" t="str">
            <v>225/55 R18</v>
          </cell>
          <cell r="E786">
            <v>102</v>
          </cell>
          <cell r="F786" t="str">
            <v>V</v>
          </cell>
          <cell r="G786" t="str">
            <v>4-SEASON XL</v>
          </cell>
          <cell r="H786">
            <v>1555538</v>
          </cell>
          <cell r="I786">
            <v>52707</v>
          </cell>
          <cell r="J786">
            <v>0</v>
          </cell>
          <cell r="K786" t="str">
            <v>P0</v>
          </cell>
          <cell r="L786" t="str">
            <v>ROG</v>
          </cell>
          <cell r="M786" t="str">
            <v>R</v>
          </cell>
          <cell r="N786" t="str">
            <v>O</v>
          </cell>
          <cell r="O786" t="str">
            <v>G</v>
          </cell>
          <cell r="P786" t="str">
            <v/>
          </cell>
          <cell r="Q786" t="str">
            <v/>
          </cell>
          <cell r="R786" t="str">
            <v>-</v>
          </cell>
        </row>
        <row r="787">
          <cell r="A787">
            <v>1555539</v>
          </cell>
          <cell r="B787">
            <v>210</v>
          </cell>
          <cell r="C787">
            <v>75</v>
          </cell>
          <cell r="D787" t="str">
            <v>215/55 R17</v>
          </cell>
          <cell r="E787">
            <v>98</v>
          </cell>
          <cell r="F787" t="str">
            <v>W</v>
          </cell>
          <cell r="G787" t="str">
            <v>4-SEASON XL</v>
          </cell>
          <cell r="H787">
            <v>1555539</v>
          </cell>
          <cell r="I787">
            <v>52211</v>
          </cell>
          <cell r="J787">
            <v>0</v>
          </cell>
          <cell r="K787" t="str">
            <v>P4</v>
          </cell>
          <cell r="L787" t="str">
            <v>RAA</v>
          </cell>
          <cell r="M787" t="str">
            <v>R</v>
          </cell>
          <cell r="N787" t="str">
            <v>A</v>
          </cell>
          <cell r="O787" t="str">
            <v>A</v>
          </cell>
          <cell r="P787" t="str">
            <v/>
          </cell>
          <cell r="Q787" t="str">
            <v/>
          </cell>
          <cell r="R787" t="str">
            <v>-</v>
          </cell>
        </row>
        <row r="788">
          <cell r="A788">
            <v>1555540</v>
          </cell>
          <cell r="B788">
            <v>744</v>
          </cell>
          <cell r="C788">
            <v>58047</v>
          </cell>
          <cell r="D788" t="str">
            <v>225/40 R18</v>
          </cell>
          <cell r="E788">
            <v>92</v>
          </cell>
          <cell r="F788" t="str">
            <v>V</v>
          </cell>
          <cell r="G788" t="str">
            <v>4-SEASON XL</v>
          </cell>
          <cell r="H788">
            <v>1555540</v>
          </cell>
          <cell r="I788">
            <v>52741</v>
          </cell>
          <cell r="J788">
            <v>0</v>
          </cell>
          <cell r="K788" t="str">
            <v>P4</v>
          </cell>
          <cell r="L788" t="str">
            <v>YYYGG</v>
          </cell>
          <cell r="M788" t="str">
            <v>Y</v>
          </cell>
          <cell r="N788" t="str">
            <v>Y</v>
          </cell>
          <cell r="O788" t="str">
            <v>Y</v>
          </cell>
          <cell r="P788" t="str">
            <v>G</v>
          </cell>
          <cell r="Q788" t="str">
            <v>G</v>
          </cell>
          <cell r="R788" t="str">
            <v>-</v>
          </cell>
        </row>
        <row r="789">
          <cell r="A789">
            <v>1555550</v>
          </cell>
          <cell r="B789" t="str">
            <v>-</v>
          </cell>
          <cell r="C789">
            <v>5049</v>
          </cell>
          <cell r="D789" t="str">
            <v>205/55 R16</v>
          </cell>
          <cell r="E789">
            <v>91</v>
          </cell>
          <cell r="F789" t="str">
            <v>V</v>
          </cell>
          <cell r="G789" t="str">
            <v>REPUTATION 2</v>
          </cell>
          <cell r="H789">
            <v>1555550</v>
          </cell>
          <cell r="I789">
            <v>52798</v>
          </cell>
          <cell r="J789">
            <v>0</v>
          </cell>
          <cell r="K789" t="str">
            <v>P3</v>
          </cell>
          <cell r="L789" t="str">
            <v>GRAY</v>
          </cell>
          <cell r="M789" t="str">
            <v>G</v>
          </cell>
          <cell r="N789" t="str">
            <v>R</v>
          </cell>
          <cell r="O789" t="str">
            <v>A</v>
          </cell>
          <cell r="P789" t="str">
            <v>Y</v>
          </cell>
          <cell r="Q789" t="str">
            <v/>
          </cell>
          <cell r="R789" t="str">
            <v>-</v>
          </cell>
        </row>
        <row r="790">
          <cell r="A790">
            <v>1555567</v>
          </cell>
          <cell r="B790" t="str">
            <v>-</v>
          </cell>
          <cell r="C790">
            <v>5002</v>
          </cell>
          <cell r="D790" t="str">
            <v>215/55 R17</v>
          </cell>
          <cell r="E790">
            <v>94</v>
          </cell>
          <cell r="F790" t="str">
            <v>V</v>
          </cell>
          <cell r="G790" t="str">
            <v>REPUTATION 2</v>
          </cell>
          <cell r="H790">
            <v>1555567</v>
          </cell>
          <cell r="I790">
            <v>52918</v>
          </cell>
          <cell r="J790">
            <v>0</v>
          </cell>
          <cell r="K790" t="str">
            <v>P0</v>
          </cell>
          <cell r="L790" t="str">
            <v>AAGGG</v>
          </cell>
          <cell r="M790" t="str">
            <v>A</v>
          </cell>
          <cell r="N790" t="str">
            <v>A</v>
          </cell>
          <cell r="O790" t="str">
            <v>G</v>
          </cell>
          <cell r="P790" t="str">
            <v>G</v>
          </cell>
          <cell r="Q790" t="str">
            <v>G</v>
          </cell>
          <cell r="R790" t="str">
            <v>-</v>
          </cell>
        </row>
        <row r="791">
          <cell r="A791">
            <v>1555570</v>
          </cell>
          <cell r="B791" t="str">
            <v>-</v>
          </cell>
          <cell r="C791">
            <v>6097</v>
          </cell>
          <cell r="D791" t="str">
            <v>225/45 R17</v>
          </cell>
          <cell r="E791">
            <v>91</v>
          </cell>
          <cell r="F791" t="str">
            <v>H</v>
          </cell>
          <cell r="G791" t="str">
            <v>REPUTATION 2</v>
          </cell>
          <cell r="H791">
            <v>1555570</v>
          </cell>
          <cell r="I791">
            <v>52030</v>
          </cell>
          <cell r="J791">
            <v>0</v>
          </cell>
          <cell r="K791" t="str">
            <v>P0</v>
          </cell>
          <cell r="L791" t="str">
            <v>YYOAG</v>
          </cell>
          <cell r="M791" t="str">
            <v>Y</v>
          </cell>
          <cell r="N791" t="str">
            <v>Y</v>
          </cell>
          <cell r="O791" t="str">
            <v>O</v>
          </cell>
          <cell r="P791" t="str">
            <v>A</v>
          </cell>
          <cell r="Q791" t="str">
            <v>G</v>
          </cell>
          <cell r="R791" t="str">
            <v>-</v>
          </cell>
        </row>
        <row r="792">
          <cell r="A792">
            <v>1555580</v>
          </cell>
          <cell r="B792" t="str">
            <v>-</v>
          </cell>
          <cell r="C792">
            <v>5045</v>
          </cell>
          <cell r="D792" t="str">
            <v>235/45 R18</v>
          </cell>
          <cell r="E792">
            <v>94</v>
          </cell>
          <cell r="F792" t="str">
            <v>V</v>
          </cell>
          <cell r="G792" t="str">
            <v>REPUTATION 2</v>
          </cell>
          <cell r="H792">
            <v>1555580</v>
          </cell>
          <cell r="I792">
            <v>52140</v>
          </cell>
          <cell r="J792">
            <v>0</v>
          </cell>
          <cell r="K792" t="str">
            <v>P4</v>
          </cell>
          <cell r="L792" t="str">
            <v>ARA</v>
          </cell>
          <cell r="M792" t="str">
            <v>A</v>
          </cell>
          <cell r="N792" t="str">
            <v>R</v>
          </cell>
          <cell r="O792" t="str">
            <v>A</v>
          </cell>
          <cell r="P792" t="str">
            <v/>
          </cell>
          <cell r="Q792" t="str">
            <v/>
          </cell>
          <cell r="R792" t="str">
            <v>-</v>
          </cell>
        </row>
        <row r="793">
          <cell r="A793">
            <v>1556016</v>
          </cell>
          <cell r="B793" t="str">
            <v>-</v>
          </cell>
          <cell r="C793">
            <v>4082</v>
          </cell>
          <cell r="D793" t="str">
            <v>185/65 R15</v>
          </cell>
          <cell r="E793">
            <v>88</v>
          </cell>
          <cell r="F793" t="str">
            <v>T</v>
          </cell>
          <cell r="G793" t="str">
            <v>SUPERGRIP PRO 2</v>
          </cell>
          <cell r="H793">
            <v>1556016</v>
          </cell>
          <cell r="I793">
            <v>52041</v>
          </cell>
          <cell r="J793">
            <v>0</v>
          </cell>
          <cell r="K793" t="str">
            <v>P4</v>
          </cell>
          <cell r="L793" t="str">
            <v>GOA</v>
          </cell>
          <cell r="M793" t="str">
            <v>G</v>
          </cell>
          <cell r="N793" t="str">
            <v>O</v>
          </cell>
          <cell r="O793" t="str">
            <v>A</v>
          </cell>
          <cell r="P793" t="str">
            <v/>
          </cell>
          <cell r="Q793" t="str">
            <v/>
          </cell>
          <cell r="R793" t="str">
            <v>-</v>
          </cell>
        </row>
        <row r="794">
          <cell r="A794">
            <v>1556030</v>
          </cell>
          <cell r="B794" t="str">
            <v>-</v>
          </cell>
          <cell r="C794">
            <v>6121</v>
          </cell>
          <cell r="D794" t="str">
            <v>215/50 R17</v>
          </cell>
          <cell r="E794">
            <v>95</v>
          </cell>
          <cell r="F794" t="str">
            <v>V</v>
          </cell>
          <cell r="G794" t="str">
            <v>SUPERGRIP PRO 2 XL</v>
          </cell>
          <cell r="H794">
            <v>1556030</v>
          </cell>
          <cell r="I794">
            <v>52342</v>
          </cell>
          <cell r="J794">
            <v>0</v>
          </cell>
          <cell r="K794" t="str">
            <v>P3</v>
          </cell>
          <cell r="L794" t="str">
            <v>YYYYR</v>
          </cell>
          <cell r="M794" t="str">
            <v>Y</v>
          </cell>
          <cell r="N794" t="str">
            <v>Y</v>
          </cell>
          <cell r="O794" t="str">
            <v>Y</v>
          </cell>
          <cell r="P794" t="str">
            <v>Y</v>
          </cell>
          <cell r="Q794" t="str">
            <v>R</v>
          </cell>
          <cell r="R794" t="str">
            <v>-</v>
          </cell>
        </row>
        <row r="795">
          <cell r="A795">
            <v>1556031</v>
          </cell>
          <cell r="C795">
            <v>6049</v>
          </cell>
          <cell r="D795" t="str">
            <v>215/55 R17</v>
          </cell>
          <cell r="E795">
            <v>98</v>
          </cell>
          <cell r="F795" t="str">
            <v>V</v>
          </cell>
          <cell r="G795" t="str">
            <v>SUPERGRIP PRO 2 XL</v>
          </cell>
          <cell r="H795">
            <v>1556031</v>
          </cell>
          <cell r="I795">
            <v>52687</v>
          </cell>
          <cell r="J795">
            <v>0</v>
          </cell>
          <cell r="K795" t="str">
            <v>P4</v>
          </cell>
          <cell r="L795" t="str">
            <v>OAWRW</v>
          </cell>
          <cell r="M795" t="str">
            <v>O</v>
          </cell>
          <cell r="N795" t="str">
            <v>A</v>
          </cell>
          <cell r="O795" t="str">
            <v>W</v>
          </cell>
          <cell r="P795" t="str">
            <v>R</v>
          </cell>
          <cell r="Q795" t="str">
            <v>W</v>
          </cell>
          <cell r="R795" t="str">
            <v>-</v>
          </cell>
        </row>
        <row r="796">
          <cell r="A796">
            <v>1556032</v>
          </cell>
          <cell r="B796" t="str">
            <v>-</v>
          </cell>
          <cell r="C796">
            <v>6149</v>
          </cell>
          <cell r="D796" t="str">
            <v>215/60 R17</v>
          </cell>
          <cell r="E796">
            <v>96</v>
          </cell>
          <cell r="F796" t="str">
            <v>H</v>
          </cell>
          <cell r="G796" t="str">
            <v>SUPERGRIP PRO 2</v>
          </cell>
          <cell r="H796">
            <v>1556032</v>
          </cell>
          <cell r="I796">
            <v>52919</v>
          </cell>
          <cell r="J796">
            <v>0</v>
          </cell>
          <cell r="K796" t="str">
            <v>P4</v>
          </cell>
          <cell r="L796" t="str">
            <v>GYYWA</v>
          </cell>
          <cell r="M796" t="str">
            <v>G</v>
          </cell>
          <cell r="N796" t="str">
            <v>Y</v>
          </cell>
          <cell r="O796" t="str">
            <v>Y</v>
          </cell>
          <cell r="P796" t="str">
            <v>W</v>
          </cell>
          <cell r="Q796" t="str">
            <v>A</v>
          </cell>
          <cell r="R796" t="str">
            <v>-</v>
          </cell>
        </row>
        <row r="797">
          <cell r="A797">
            <v>1556041</v>
          </cell>
          <cell r="B797" t="str">
            <v>-</v>
          </cell>
          <cell r="C797">
            <v>58065</v>
          </cell>
          <cell r="D797" t="str">
            <v>225/40 R18</v>
          </cell>
          <cell r="E797">
            <v>92</v>
          </cell>
          <cell r="F797" t="str">
            <v>V</v>
          </cell>
          <cell r="G797" t="str">
            <v>SUPERGRIP PRO</v>
          </cell>
          <cell r="H797">
            <v>1556041</v>
          </cell>
          <cell r="I797">
            <v>52339</v>
          </cell>
          <cell r="J797">
            <v>0</v>
          </cell>
          <cell r="K797" t="str">
            <v>P0</v>
          </cell>
          <cell r="L797" t="str">
            <v>RRGR</v>
          </cell>
          <cell r="M797" t="str">
            <v>R</v>
          </cell>
          <cell r="N797" t="str">
            <v>R</v>
          </cell>
          <cell r="O797" t="str">
            <v>G</v>
          </cell>
          <cell r="P797" t="str">
            <v>R</v>
          </cell>
          <cell r="Q797" t="str">
            <v/>
          </cell>
          <cell r="R797" t="str">
            <v>-</v>
          </cell>
        </row>
        <row r="798">
          <cell r="A798">
            <v>1556045</v>
          </cell>
          <cell r="B798" t="str">
            <v>-</v>
          </cell>
          <cell r="C798">
            <v>6061</v>
          </cell>
          <cell r="D798" t="str">
            <v>235/55 R18</v>
          </cell>
          <cell r="E798">
            <v>104</v>
          </cell>
          <cell r="F798" t="str">
            <v>V</v>
          </cell>
          <cell r="G798" t="str">
            <v>SUPERGRIP PRO PRO2 XL</v>
          </cell>
          <cell r="H798">
            <v>1556045</v>
          </cell>
          <cell r="I798">
            <v>52561</v>
          </cell>
          <cell r="J798">
            <v>0</v>
          </cell>
          <cell r="K798" t="str">
            <v>P0</v>
          </cell>
          <cell r="L798" t="str">
            <v>AWRAA</v>
          </cell>
          <cell r="M798" t="str">
            <v>A</v>
          </cell>
          <cell r="N798" t="str">
            <v>W</v>
          </cell>
          <cell r="O798" t="str">
            <v>R</v>
          </cell>
          <cell r="P798" t="str">
            <v>A</v>
          </cell>
          <cell r="Q798" t="str">
            <v>A</v>
          </cell>
          <cell r="R798" t="str">
            <v>-</v>
          </cell>
        </row>
        <row r="799">
          <cell r="A799">
            <v>1556047</v>
          </cell>
          <cell r="B799" t="str">
            <v>-</v>
          </cell>
          <cell r="C799">
            <v>58002</v>
          </cell>
          <cell r="D799" t="str">
            <v>245/40 R18</v>
          </cell>
          <cell r="E799">
            <v>97</v>
          </cell>
          <cell r="F799" t="str">
            <v>V</v>
          </cell>
          <cell r="G799" t="str">
            <v>SUPERGRIP PRO 2 XL</v>
          </cell>
          <cell r="H799">
            <v>1556047</v>
          </cell>
          <cell r="I799">
            <v>52189</v>
          </cell>
          <cell r="J799">
            <v>0</v>
          </cell>
          <cell r="K799" t="str">
            <v>P0</v>
          </cell>
          <cell r="L799" t="str">
            <v>GOGGW</v>
          </cell>
          <cell r="M799" t="str">
            <v>G</v>
          </cell>
          <cell r="N799" t="str">
            <v>O</v>
          </cell>
          <cell r="O799" t="str">
            <v>G</v>
          </cell>
          <cell r="P799" t="str">
            <v>G</v>
          </cell>
          <cell r="Q799" t="str">
            <v>W</v>
          </cell>
          <cell r="R799" t="str">
            <v>-</v>
          </cell>
        </row>
        <row r="800">
          <cell r="A800">
            <v>1556048</v>
          </cell>
          <cell r="B800" t="str">
            <v>-</v>
          </cell>
          <cell r="C800">
            <v>6021</v>
          </cell>
          <cell r="D800" t="str">
            <v>235/55 R19</v>
          </cell>
          <cell r="E800">
            <v>105</v>
          </cell>
          <cell r="F800" t="str">
            <v>V</v>
          </cell>
          <cell r="G800" t="str">
            <v>SUPER Z GRIPPRO2 XL</v>
          </cell>
          <cell r="H800">
            <v>1556048</v>
          </cell>
          <cell r="I800">
            <v>52221</v>
          </cell>
          <cell r="J800">
            <v>0</v>
          </cell>
          <cell r="K800" t="str">
            <v>P0</v>
          </cell>
          <cell r="L800" t="str">
            <v>AWRWA</v>
          </cell>
          <cell r="M800" t="str">
            <v>A</v>
          </cell>
          <cell r="N800" t="str">
            <v>W</v>
          </cell>
          <cell r="O800" t="str">
            <v>R</v>
          </cell>
          <cell r="P800" t="str">
            <v>W</v>
          </cell>
          <cell r="Q800" t="str">
            <v>A</v>
          </cell>
          <cell r="R800" t="str">
            <v>-</v>
          </cell>
        </row>
        <row r="801">
          <cell r="A801">
            <v>1556051</v>
          </cell>
          <cell r="B801" t="str">
            <v>-</v>
          </cell>
          <cell r="C801">
            <v>4045</v>
          </cell>
          <cell r="D801" t="str">
            <v>235/50 R19</v>
          </cell>
          <cell r="E801">
            <v>103</v>
          </cell>
          <cell r="F801" t="str">
            <v>V</v>
          </cell>
          <cell r="G801" t="str">
            <v>WINTER WINTER S XL</v>
          </cell>
          <cell r="H801">
            <v>1556051</v>
          </cell>
          <cell r="I801">
            <v>52369</v>
          </cell>
          <cell r="J801">
            <v>0</v>
          </cell>
          <cell r="K801" t="str">
            <v>P4</v>
          </cell>
          <cell r="L801" t="str">
            <v>YG</v>
          </cell>
          <cell r="M801" t="str">
            <v>Y</v>
          </cell>
          <cell r="N801" t="str">
            <v>G</v>
          </cell>
          <cell r="O801" t="str">
            <v/>
          </cell>
          <cell r="P801" t="str">
            <v/>
          </cell>
          <cell r="Q801" t="str">
            <v/>
          </cell>
          <cell r="R801" t="str">
            <v>-</v>
          </cell>
        </row>
        <row r="802">
          <cell r="A802">
            <v>1557243</v>
          </cell>
          <cell r="B802" t="str">
            <v>-</v>
          </cell>
          <cell r="C802">
            <v>5002</v>
          </cell>
          <cell r="D802" t="str">
            <v>215/55 R17</v>
          </cell>
          <cell r="E802">
            <v>94</v>
          </cell>
          <cell r="F802" t="str">
            <v>V</v>
          </cell>
          <cell r="G802" t="str">
            <v>ULTIMATECONTACT</v>
          </cell>
          <cell r="H802">
            <v>1557243</v>
          </cell>
          <cell r="I802">
            <v>52918</v>
          </cell>
          <cell r="J802">
            <v>0</v>
          </cell>
          <cell r="K802" t="str">
            <v>P0</v>
          </cell>
          <cell r="L802" t="str">
            <v>AAGGG</v>
          </cell>
          <cell r="M802" t="str">
            <v>A</v>
          </cell>
          <cell r="N802" t="str">
            <v>A</v>
          </cell>
          <cell r="O802" t="str">
            <v>G</v>
          </cell>
          <cell r="P802" t="str">
            <v>G</v>
          </cell>
          <cell r="Q802" t="str">
            <v>G</v>
          </cell>
          <cell r="R802" t="str">
            <v>-</v>
          </cell>
        </row>
        <row r="803">
          <cell r="A803">
            <v>1557251</v>
          </cell>
          <cell r="B803" t="str">
            <v>-</v>
          </cell>
          <cell r="C803">
            <v>70</v>
          </cell>
          <cell r="D803" t="str">
            <v>235/60 R18</v>
          </cell>
          <cell r="E803">
            <v>103</v>
          </cell>
          <cell r="F803" t="str">
            <v>V</v>
          </cell>
          <cell r="G803" t="str">
            <v>ULTIMATECONTACT</v>
          </cell>
          <cell r="H803">
            <v>1557251</v>
          </cell>
          <cell r="I803">
            <v>52815</v>
          </cell>
          <cell r="J803">
            <v>0</v>
          </cell>
          <cell r="K803" t="str">
            <v>P0</v>
          </cell>
          <cell r="L803" t="str">
            <v>YA</v>
          </cell>
          <cell r="M803" t="str">
            <v>Y</v>
          </cell>
          <cell r="N803" t="str">
            <v>A</v>
          </cell>
          <cell r="O803" t="str">
            <v/>
          </cell>
          <cell r="P803" t="str">
            <v/>
          </cell>
          <cell r="Q803" t="str">
            <v/>
          </cell>
          <cell r="R803" t="str">
            <v>-</v>
          </cell>
        </row>
        <row r="804">
          <cell r="A804">
            <v>1557258</v>
          </cell>
          <cell r="B804" t="str">
            <v>-</v>
          </cell>
          <cell r="C804">
            <v>5027</v>
          </cell>
          <cell r="D804" t="str">
            <v>225/55 R19</v>
          </cell>
          <cell r="E804">
            <v>99</v>
          </cell>
          <cell r="F804" t="str">
            <v>V</v>
          </cell>
          <cell r="G804" t="str">
            <v>ULTIMATECONTACT</v>
          </cell>
          <cell r="H804">
            <v>1557258</v>
          </cell>
          <cell r="I804">
            <v>52192</v>
          </cell>
          <cell r="J804">
            <v>0</v>
          </cell>
          <cell r="K804" t="str">
            <v>P0</v>
          </cell>
          <cell r="L804" t="str">
            <v>YAOGG</v>
          </cell>
          <cell r="M804" t="str">
            <v>Y</v>
          </cell>
          <cell r="N804" t="str">
            <v>A</v>
          </cell>
          <cell r="O804" t="str">
            <v>O</v>
          </cell>
          <cell r="P804" t="str">
            <v>G</v>
          </cell>
          <cell r="Q804" t="str">
            <v>G</v>
          </cell>
          <cell r="R804" t="str">
            <v>-</v>
          </cell>
        </row>
        <row r="805">
          <cell r="A805">
            <v>1557263</v>
          </cell>
          <cell r="B805" t="str">
            <v>-</v>
          </cell>
          <cell r="C805">
            <v>58066</v>
          </cell>
          <cell r="D805" t="str">
            <v>205/45 R17</v>
          </cell>
          <cell r="E805">
            <v>88</v>
          </cell>
          <cell r="F805" t="str">
            <v>W</v>
          </cell>
          <cell r="G805" t="str">
            <v>EXTREME CONTACT XL</v>
          </cell>
          <cell r="H805">
            <v>1557263</v>
          </cell>
          <cell r="I805">
            <v>52743</v>
          </cell>
          <cell r="J805">
            <v>0</v>
          </cell>
          <cell r="K805" t="str">
            <v>P7</v>
          </cell>
          <cell r="L805" t="str">
            <v>RROOG</v>
          </cell>
          <cell r="M805" t="str">
            <v>R</v>
          </cell>
          <cell r="N805" t="str">
            <v>R</v>
          </cell>
          <cell r="O805" t="str">
            <v>O</v>
          </cell>
          <cell r="P805" t="str">
            <v>O</v>
          </cell>
          <cell r="Q805" t="str">
            <v>G</v>
          </cell>
          <cell r="R805" t="str">
            <v>-</v>
          </cell>
        </row>
        <row r="806">
          <cell r="A806">
            <v>1557264</v>
          </cell>
          <cell r="B806">
            <v>140</v>
          </cell>
          <cell r="C806">
            <v>6145</v>
          </cell>
          <cell r="D806" t="str">
            <v>205/50 R16</v>
          </cell>
          <cell r="E806">
            <v>87</v>
          </cell>
          <cell r="F806" t="str">
            <v>W</v>
          </cell>
          <cell r="G806" t="str">
            <v>COEXCO DWS06 PLUS</v>
          </cell>
          <cell r="H806">
            <v>1557264</v>
          </cell>
          <cell r="I806">
            <v>52142</v>
          </cell>
          <cell r="J806">
            <v>0</v>
          </cell>
          <cell r="K806" t="str">
            <v>P4</v>
          </cell>
          <cell r="L806" t="str">
            <v>YRG</v>
          </cell>
          <cell r="M806" t="str">
            <v>Y</v>
          </cell>
          <cell r="N806" t="str">
            <v>R</v>
          </cell>
          <cell r="O806" t="str">
            <v>G</v>
          </cell>
          <cell r="P806" t="str">
            <v/>
          </cell>
          <cell r="Q806" t="str">
            <v/>
          </cell>
          <cell r="R806" t="str">
            <v>-</v>
          </cell>
        </row>
        <row r="807">
          <cell r="A807">
            <v>1557265</v>
          </cell>
          <cell r="B807">
            <v>79</v>
          </cell>
          <cell r="C807">
            <v>6045</v>
          </cell>
          <cell r="D807" t="str">
            <v>205/50 R17</v>
          </cell>
          <cell r="E807">
            <v>93</v>
          </cell>
          <cell r="F807" t="str">
            <v>W</v>
          </cell>
          <cell r="G807" t="str">
            <v>COEXCO DWS06 PLUS XL</v>
          </cell>
          <cell r="H807">
            <v>1557265</v>
          </cell>
          <cell r="I807">
            <v>52089</v>
          </cell>
          <cell r="J807">
            <v>0</v>
          </cell>
          <cell r="K807" t="str">
            <v>P4</v>
          </cell>
          <cell r="L807" t="str">
            <v>YAO</v>
          </cell>
          <cell r="M807" t="str">
            <v>Y</v>
          </cell>
          <cell r="N807" t="str">
            <v>A</v>
          </cell>
          <cell r="O807" t="str">
            <v>O</v>
          </cell>
          <cell r="P807" t="str">
            <v/>
          </cell>
          <cell r="Q807" t="str">
            <v/>
          </cell>
          <cell r="R807" t="str">
            <v>-</v>
          </cell>
        </row>
        <row r="808">
          <cell r="A808">
            <v>1557269</v>
          </cell>
          <cell r="B808">
            <v>449</v>
          </cell>
          <cell r="C808">
            <v>58028</v>
          </cell>
          <cell r="D808" t="str">
            <v>215/45 R18</v>
          </cell>
          <cell r="E808">
            <v>93</v>
          </cell>
          <cell r="F808" t="str">
            <v>Y</v>
          </cell>
          <cell r="G808" t="str">
            <v>EXTREME CONTACT DWS06 XL</v>
          </cell>
          <cell r="H808">
            <v>1557269</v>
          </cell>
          <cell r="I808">
            <v>52450</v>
          </cell>
          <cell r="J808">
            <v>0</v>
          </cell>
          <cell r="K808" t="str">
            <v>P7</v>
          </cell>
          <cell r="L808" t="str">
            <v>RRYRG</v>
          </cell>
          <cell r="M808" t="str">
            <v>R</v>
          </cell>
          <cell r="N808" t="str">
            <v>R</v>
          </cell>
          <cell r="O808" t="str">
            <v>Y</v>
          </cell>
          <cell r="P808" t="str">
            <v>R</v>
          </cell>
          <cell r="Q808" t="str">
            <v>G</v>
          </cell>
          <cell r="R808" t="str">
            <v>-</v>
          </cell>
        </row>
        <row r="809">
          <cell r="A809">
            <v>1557270</v>
          </cell>
          <cell r="B809">
            <v>499</v>
          </cell>
          <cell r="C809">
            <v>4060</v>
          </cell>
          <cell r="D809" t="str">
            <v>215/50 R17</v>
          </cell>
          <cell r="E809">
            <v>95</v>
          </cell>
          <cell r="F809" t="str">
            <v>W</v>
          </cell>
          <cell r="G809" t="str">
            <v>EXTREME CONTACT DWS06+ XL</v>
          </cell>
          <cell r="H809">
            <v>1557270</v>
          </cell>
          <cell r="I809">
            <v>52495</v>
          </cell>
          <cell r="J809">
            <v>0</v>
          </cell>
          <cell r="K809" t="str">
            <v>P4</v>
          </cell>
          <cell r="L809" t="str">
            <v>AAO</v>
          </cell>
          <cell r="M809" t="str">
            <v>A</v>
          </cell>
          <cell r="N809" t="str">
            <v>A</v>
          </cell>
          <cell r="O809" t="str">
            <v>O</v>
          </cell>
          <cell r="P809" t="str">
            <v/>
          </cell>
          <cell r="Q809" t="str">
            <v/>
          </cell>
          <cell r="R809" t="str">
            <v>-</v>
          </cell>
        </row>
        <row r="810">
          <cell r="A810">
            <v>1557272</v>
          </cell>
          <cell r="B810">
            <v>127</v>
          </cell>
          <cell r="C810">
            <v>4001</v>
          </cell>
          <cell r="D810" t="str">
            <v>215/55 R17</v>
          </cell>
          <cell r="E810">
            <v>94</v>
          </cell>
          <cell r="F810" t="str">
            <v>W</v>
          </cell>
          <cell r="G810" t="str">
            <v>EXTREME CONTACT</v>
          </cell>
          <cell r="H810">
            <v>1557272</v>
          </cell>
          <cell r="I810">
            <v>52277</v>
          </cell>
          <cell r="J810">
            <v>0</v>
          </cell>
          <cell r="K810" t="str">
            <v>P4</v>
          </cell>
          <cell r="L810" t="str">
            <v>ORY</v>
          </cell>
          <cell r="M810" t="str">
            <v>O</v>
          </cell>
          <cell r="N810" t="str">
            <v>R</v>
          </cell>
          <cell r="O810" t="str">
            <v>Y</v>
          </cell>
          <cell r="P810" t="str">
            <v/>
          </cell>
          <cell r="Q810" t="str">
            <v/>
          </cell>
          <cell r="R810" t="str">
            <v>-</v>
          </cell>
        </row>
        <row r="811">
          <cell r="A811">
            <v>1557278</v>
          </cell>
          <cell r="B811">
            <v>964</v>
          </cell>
          <cell r="C811">
            <v>4079</v>
          </cell>
          <cell r="D811" t="str">
            <v>225/45 R19</v>
          </cell>
          <cell r="E811">
            <v>92</v>
          </cell>
          <cell r="F811" t="str">
            <v>W</v>
          </cell>
          <cell r="G811" t="str">
            <v>EXTREME CONTACT DWS 06+</v>
          </cell>
          <cell r="H811">
            <v>1557278</v>
          </cell>
          <cell r="I811">
            <v>52762</v>
          </cell>
          <cell r="J811">
            <v>0</v>
          </cell>
          <cell r="K811" t="str">
            <v>P7</v>
          </cell>
          <cell r="L811" t="str">
            <v>OOOOA</v>
          </cell>
          <cell r="M811" t="str">
            <v>O</v>
          </cell>
          <cell r="N811" t="str">
            <v>O</v>
          </cell>
          <cell r="O811" t="str">
            <v>O</v>
          </cell>
          <cell r="P811" t="str">
            <v>O</v>
          </cell>
          <cell r="Q811" t="str">
            <v>A</v>
          </cell>
          <cell r="R811" t="str">
            <v>-</v>
          </cell>
        </row>
        <row r="812">
          <cell r="A812">
            <v>1557280</v>
          </cell>
          <cell r="B812">
            <v>900</v>
          </cell>
          <cell r="C812">
            <v>2013</v>
          </cell>
          <cell r="D812" t="str">
            <v>225/50 R17</v>
          </cell>
          <cell r="E812">
            <v>94</v>
          </cell>
          <cell r="F812" t="str">
            <v>W</v>
          </cell>
          <cell r="G812" t="str">
            <v>EXTREME CONTACT DWS PLUS</v>
          </cell>
          <cell r="H812">
            <v>1557280</v>
          </cell>
          <cell r="I812">
            <v>52800</v>
          </cell>
          <cell r="J812">
            <v>0</v>
          </cell>
          <cell r="K812" t="str">
            <v>P7</v>
          </cell>
          <cell r="L812" t="str">
            <v>YYOOO</v>
          </cell>
          <cell r="M812" t="str">
            <v>Y</v>
          </cell>
          <cell r="N812" t="str">
            <v>Y</v>
          </cell>
          <cell r="O812" t="str">
            <v>O</v>
          </cell>
          <cell r="P812" t="str">
            <v>O</v>
          </cell>
          <cell r="Q812" t="str">
            <v>O</v>
          </cell>
          <cell r="R812" t="str">
            <v>-</v>
          </cell>
        </row>
        <row r="813">
          <cell r="A813">
            <v>1557287</v>
          </cell>
          <cell r="B813">
            <v>104</v>
          </cell>
          <cell r="C813">
            <v>6033</v>
          </cell>
          <cell r="D813" t="str">
            <v>235/45 R17</v>
          </cell>
          <cell r="E813">
            <v>94</v>
          </cell>
          <cell r="F813" t="str">
            <v>W</v>
          </cell>
          <cell r="G813" t="str">
            <v>EXTREME CONTACT</v>
          </cell>
          <cell r="H813">
            <v>1557287</v>
          </cell>
          <cell r="I813">
            <v>52264</v>
          </cell>
          <cell r="J813">
            <v>0</v>
          </cell>
          <cell r="K813" t="str">
            <v>P7</v>
          </cell>
          <cell r="L813" t="str">
            <v>AAAYR</v>
          </cell>
          <cell r="M813" t="str">
            <v>A</v>
          </cell>
          <cell r="N813" t="str">
            <v>A</v>
          </cell>
          <cell r="O813" t="str">
            <v>A</v>
          </cell>
          <cell r="P813" t="str">
            <v>Y</v>
          </cell>
          <cell r="Q813" t="str">
            <v>R</v>
          </cell>
          <cell r="R813" t="str">
            <v>-</v>
          </cell>
        </row>
        <row r="814">
          <cell r="A814">
            <v>1557288</v>
          </cell>
          <cell r="B814">
            <v>989</v>
          </cell>
          <cell r="C814">
            <v>4070</v>
          </cell>
          <cell r="D814" t="str">
            <v>235/45 R18</v>
          </cell>
          <cell r="E814">
            <v>98</v>
          </cell>
          <cell r="F814" t="str">
            <v>Y</v>
          </cell>
          <cell r="G814" t="str">
            <v>EXTREME CONTACT XL</v>
          </cell>
          <cell r="H814">
            <v>1557288</v>
          </cell>
          <cell r="I814">
            <v>52889</v>
          </cell>
          <cell r="J814">
            <v>0</v>
          </cell>
          <cell r="K814" t="str">
            <v>P7</v>
          </cell>
          <cell r="L814" t="str">
            <v>YYA</v>
          </cell>
          <cell r="M814" t="str">
            <v>Y</v>
          </cell>
          <cell r="N814" t="str">
            <v>Y</v>
          </cell>
          <cell r="O814" t="str">
            <v>A</v>
          </cell>
          <cell r="P814" t="str">
            <v/>
          </cell>
          <cell r="Q814" t="str">
            <v/>
          </cell>
          <cell r="R814" t="str">
            <v>-</v>
          </cell>
        </row>
        <row r="815">
          <cell r="A815">
            <v>1557299</v>
          </cell>
          <cell r="B815">
            <v>209</v>
          </cell>
          <cell r="C815">
            <v>58049</v>
          </cell>
          <cell r="D815" t="str">
            <v>245/40 R17</v>
          </cell>
          <cell r="E815">
            <v>91</v>
          </cell>
          <cell r="F815" t="str">
            <v>W</v>
          </cell>
          <cell r="G815" t="str">
            <v>EXTREME CONTACT DWS PLUS</v>
          </cell>
          <cell r="H815">
            <v>1557299</v>
          </cell>
          <cell r="I815">
            <v>52190</v>
          </cell>
          <cell r="J815">
            <v>0</v>
          </cell>
          <cell r="K815" t="str">
            <v>P7</v>
          </cell>
          <cell r="L815" t="str">
            <v>AYGG</v>
          </cell>
          <cell r="M815" t="str">
            <v>A</v>
          </cell>
          <cell r="N815" t="str">
            <v>Y</v>
          </cell>
          <cell r="O815" t="str">
            <v>G</v>
          </cell>
          <cell r="P815" t="str">
            <v>G</v>
          </cell>
          <cell r="Q815" t="str">
            <v/>
          </cell>
          <cell r="R815" t="str">
            <v>-</v>
          </cell>
        </row>
        <row r="816">
          <cell r="A816">
            <v>1557316</v>
          </cell>
          <cell r="B816" t="str">
            <v>-</v>
          </cell>
          <cell r="C816">
            <v>4186</v>
          </cell>
          <cell r="D816" t="str">
            <v>255/40 R18</v>
          </cell>
          <cell r="E816">
            <v>99</v>
          </cell>
          <cell r="F816" t="str">
            <v>Y</v>
          </cell>
          <cell r="G816" t="str">
            <v>EXTREME CONTACT DWS06+ XL</v>
          </cell>
          <cell r="H816">
            <v>1557316</v>
          </cell>
          <cell r="I816">
            <v>52214</v>
          </cell>
          <cell r="J816">
            <v>0</v>
          </cell>
          <cell r="K816" t="str">
            <v>P5</v>
          </cell>
          <cell r="L816" t="str">
            <v>GWA</v>
          </cell>
          <cell r="M816" t="str">
            <v>G</v>
          </cell>
          <cell r="N816" t="str">
            <v>W</v>
          </cell>
          <cell r="O816" t="str">
            <v>A</v>
          </cell>
          <cell r="P816" t="str">
            <v/>
          </cell>
          <cell r="Q816" t="str">
            <v/>
          </cell>
          <cell r="R816" t="str">
            <v>-</v>
          </cell>
        </row>
        <row r="817">
          <cell r="A817">
            <v>1557367</v>
          </cell>
          <cell r="B817" t="str">
            <v>-</v>
          </cell>
          <cell r="C817">
            <v>5045</v>
          </cell>
          <cell r="D817" t="str">
            <v>235/45 R18</v>
          </cell>
          <cell r="E817">
            <v>98</v>
          </cell>
          <cell r="F817" t="str">
            <v>V</v>
          </cell>
          <cell r="G817" t="str">
            <v>ULTIMATECONTACT XL</v>
          </cell>
          <cell r="H817">
            <v>1557367</v>
          </cell>
          <cell r="I817">
            <v>52140</v>
          </cell>
          <cell r="J817">
            <v>0</v>
          </cell>
          <cell r="K817" t="str">
            <v>P4</v>
          </cell>
          <cell r="L817" t="str">
            <v>ARA</v>
          </cell>
          <cell r="M817" t="str">
            <v>A</v>
          </cell>
          <cell r="N817" t="str">
            <v>R</v>
          </cell>
          <cell r="O817" t="str">
            <v>A</v>
          </cell>
          <cell r="P817" t="str">
            <v/>
          </cell>
          <cell r="Q817" t="str">
            <v/>
          </cell>
          <cell r="R817" t="str">
            <v>-</v>
          </cell>
        </row>
        <row r="818">
          <cell r="A818">
            <v>1557444</v>
          </cell>
          <cell r="B818" t="str">
            <v>-</v>
          </cell>
          <cell r="C818">
            <v>5020</v>
          </cell>
          <cell r="D818" t="str">
            <v>215/55 R17</v>
          </cell>
          <cell r="E818">
            <v>94</v>
          </cell>
          <cell r="F818" t="str">
            <v>V</v>
          </cell>
          <cell r="G818" t="str">
            <v>ALTIMAX 365AW</v>
          </cell>
          <cell r="H818">
            <v>1557444</v>
          </cell>
          <cell r="I818">
            <v>52570</v>
          </cell>
          <cell r="J818">
            <v>0</v>
          </cell>
          <cell r="K818" t="str">
            <v>P0</v>
          </cell>
          <cell r="L818" t="str">
            <v>GOYAW</v>
          </cell>
          <cell r="M818" t="str">
            <v>G</v>
          </cell>
          <cell r="N818" t="str">
            <v>O</v>
          </cell>
          <cell r="O818" t="str">
            <v>Y</v>
          </cell>
          <cell r="P818" t="str">
            <v>A</v>
          </cell>
          <cell r="Q818" t="str">
            <v>W</v>
          </cell>
          <cell r="R818" t="str">
            <v>-</v>
          </cell>
        </row>
        <row r="819">
          <cell r="A819">
            <v>1557445</v>
          </cell>
          <cell r="B819" t="str">
            <v>-</v>
          </cell>
          <cell r="C819">
            <v>3071</v>
          </cell>
          <cell r="D819" t="str">
            <v>235/45 R18</v>
          </cell>
          <cell r="E819">
            <v>98</v>
          </cell>
          <cell r="F819" t="str">
            <v>V</v>
          </cell>
          <cell r="G819" t="str">
            <v>ALTIMAX XL</v>
          </cell>
          <cell r="H819">
            <v>1557445</v>
          </cell>
          <cell r="I819">
            <v>52686</v>
          </cell>
          <cell r="J819">
            <v>0</v>
          </cell>
          <cell r="K819" t="str">
            <v>P0</v>
          </cell>
          <cell r="L819" t="str">
            <v>AAARR</v>
          </cell>
          <cell r="M819" t="str">
            <v>A</v>
          </cell>
          <cell r="N819" t="str">
            <v>A</v>
          </cell>
          <cell r="O819" t="str">
            <v>A</v>
          </cell>
          <cell r="P819" t="str">
            <v>R</v>
          </cell>
          <cell r="Q819" t="str">
            <v>R</v>
          </cell>
          <cell r="R819" t="str">
            <v>-</v>
          </cell>
        </row>
        <row r="820">
          <cell r="A820">
            <v>1557450</v>
          </cell>
          <cell r="B820" t="str">
            <v>-</v>
          </cell>
          <cell r="C820">
            <v>4005</v>
          </cell>
          <cell r="D820" t="str">
            <v>225/45 R17</v>
          </cell>
          <cell r="E820">
            <v>94</v>
          </cell>
          <cell r="F820" t="str">
            <v>V</v>
          </cell>
          <cell r="G820" t="str">
            <v>ALTIMAX 365 AW XL</v>
          </cell>
          <cell r="H820">
            <v>1557450</v>
          </cell>
          <cell r="I820">
            <v>52302</v>
          </cell>
          <cell r="J820">
            <v>0</v>
          </cell>
          <cell r="K820" t="str">
            <v>P3</v>
          </cell>
          <cell r="L820" t="str">
            <v>RRAAO</v>
          </cell>
          <cell r="M820" t="str">
            <v>R</v>
          </cell>
          <cell r="N820" t="str">
            <v>R</v>
          </cell>
          <cell r="O820" t="str">
            <v>A</v>
          </cell>
          <cell r="P820" t="str">
            <v>A</v>
          </cell>
          <cell r="Q820" t="str">
            <v>O</v>
          </cell>
          <cell r="R820" t="str">
            <v>-</v>
          </cell>
        </row>
        <row r="821">
          <cell r="A821">
            <v>1557451</v>
          </cell>
          <cell r="B821" t="str">
            <v>-</v>
          </cell>
          <cell r="C821">
            <v>6083</v>
          </cell>
          <cell r="D821" t="str">
            <v>235/55 R18</v>
          </cell>
          <cell r="E821">
            <v>100</v>
          </cell>
          <cell r="F821" t="str">
            <v>V</v>
          </cell>
          <cell r="G821" t="str">
            <v>ALTIMAX</v>
          </cell>
          <cell r="H821">
            <v>1557451</v>
          </cell>
          <cell r="I821">
            <v>52683</v>
          </cell>
          <cell r="J821">
            <v>0</v>
          </cell>
          <cell r="K821" t="str">
            <v>P0</v>
          </cell>
          <cell r="L821" t="str">
            <v>AAGGW</v>
          </cell>
          <cell r="M821" t="str">
            <v>A</v>
          </cell>
          <cell r="N821" t="str">
            <v>A</v>
          </cell>
          <cell r="O821" t="str">
            <v>G</v>
          </cell>
          <cell r="P821" t="str">
            <v>G</v>
          </cell>
          <cell r="Q821" t="str">
            <v>W</v>
          </cell>
          <cell r="R821" t="str">
            <v>-</v>
          </cell>
        </row>
        <row r="822">
          <cell r="A822">
            <v>1557454</v>
          </cell>
          <cell r="B822" t="str">
            <v>-</v>
          </cell>
          <cell r="C822">
            <v>5061</v>
          </cell>
          <cell r="D822" t="str">
            <v>205/55 R16</v>
          </cell>
          <cell r="E822">
            <v>91</v>
          </cell>
          <cell r="F822" t="str">
            <v>H</v>
          </cell>
          <cell r="G822" t="str">
            <v>CONTROLCONTACT XL</v>
          </cell>
          <cell r="H822">
            <v>1557454</v>
          </cell>
          <cell r="I822">
            <v>52785</v>
          </cell>
          <cell r="J822">
            <v>0</v>
          </cell>
          <cell r="K822" t="str">
            <v>P0</v>
          </cell>
          <cell r="L822" t="str">
            <v>YYWG</v>
          </cell>
          <cell r="M822" t="str">
            <v>Y</v>
          </cell>
          <cell r="N822" t="str">
            <v>Y</v>
          </cell>
          <cell r="O822" t="str">
            <v>W</v>
          </cell>
          <cell r="P822" t="str">
            <v>G</v>
          </cell>
          <cell r="Q822" t="str">
            <v/>
          </cell>
          <cell r="R822" t="str">
            <v>-</v>
          </cell>
        </row>
        <row r="823">
          <cell r="A823">
            <v>1557455</v>
          </cell>
          <cell r="B823" t="str">
            <v>-</v>
          </cell>
          <cell r="C823">
            <v>6392</v>
          </cell>
          <cell r="D823" t="str">
            <v>225/50 R17</v>
          </cell>
          <cell r="E823">
            <v>94</v>
          </cell>
          <cell r="F823" t="str">
            <v>V</v>
          </cell>
          <cell r="G823" t="str">
            <v>ALTIMAX 365 AW</v>
          </cell>
          <cell r="H823">
            <v>1557455</v>
          </cell>
          <cell r="I823">
            <v>52631</v>
          </cell>
          <cell r="J823">
            <v>0</v>
          </cell>
          <cell r="K823" t="str">
            <v>P0</v>
          </cell>
          <cell r="L823" t="str">
            <v>WGYY</v>
          </cell>
          <cell r="M823" t="str">
            <v>W</v>
          </cell>
          <cell r="N823" t="str">
            <v>G</v>
          </cell>
          <cell r="O823" t="str">
            <v>Y</v>
          </cell>
          <cell r="P823" t="str">
            <v>Y</v>
          </cell>
          <cell r="Q823" t="str">
            <v/>
          </cell>
          <cell r="R823" t="str">
            <v>-</v>
          </cell>
        </row>
        <row r="824">
          <cell r="A824">
            <v>1557459</v>
          </cell>
          <cell r="B824" t="str">
            <v>-</v>
          </cell>
          <cell r="C824">
            <v>5054</v>
          </cell>
          <cell r="D824" t="str">
            <v>235/50 R18</v>
          </cell>
          <cell r="E824">
            <v>97</v>
          </cell>
          <cell r="F824" t="str">
            <v>V</v>
          </cell>
          <cell r="G824" t="str">
            <v>ALTIMAX</v>
          </cell>
          <cell r="H824">
            <v>1557459</v>
          </cell>
          <cell r="I824">
            <v>52904</v>
          </cell>
          <cell r="J824">
            <v>0</v>
          </cell>
          <cell r="K824" t="str">
            <v>P3</v>
          </cell>
          <cell r="L824" t="str">
            <v>AWR</v>
          </cell>
          <cell r="M824" t="str">
            <v>A</v>
          </cell>
          <cell r="N824" t="str">
            <v>W</v>
          </cell>
          <cell r="O824" t="str">
            <v>R</v>
          </cell>
          <cell r="P824" t="str">
            <v/>
          </cell>
          <cell r="Q824" t="str">
            <v/>
          </cell>
          <cell r="R824" t="str">
            <v>-</v>
          </cell>
        </row>
        <row r="825">
          <cell r="A825">
            <v>1557460</v>
          </cell>
          <cell r="B825" t="str">
            <v>-</v>
          </cell>
          <cell r="C825">
            <v>2097</v>
          </cell>
          <cell r="D825" t="str">
            <v>215/50 R17</v>
          </cell>
          <cell r="E825">
            <v>95</v>
          </cell>
          <cell r="F825" t="str">
            <v>V</v>
          </cell>
          <cell r="G825" t="str">
            <v>ALTIMAX 365 AW XL</v>
          </cell>
          <cell r="H825">
            <v>1557460</v>
          </cell>
          <cell r="I825">
            <v>52608</v>
          </cell>
          <cell r="J825">
            <v>0</v>
          </cell>
          <cell r="K825" t="str">
            <v>P4</v>
          </cell>
          <cell r="L825" t="str">
            <v>GGGGG</v>
          </cell>
          <cell r="M825" t="str">
            <v>G</v>
          </cell>
          <cell r="N825" t="str">
            <v>G</v>
          </cell>
          <cell r="O825" t="str">
            <v>G</v>
          </cell>
          <cell r="P825" t="str">
            <v>G</v>
          </cell>
          <cell r="Q825" t="str">
            <v>G</v>
          </cell>
          <cell r="R825" t="str">
            <v>-</v>
          </cell>
        </row>
        <row r="826">
          <cell r="A826">
            <v>1557465</v>
          </cell>
          <cell r="B826" t="str">
            <v>-</v>
          </cell>
          <cell r="C826">
            <v>6087</v>
          </cell>
          <cell r="D826" t="str">
            <v>225/55 R19</v>
          </cell>
          <cell r="E826">
            <v>99</v>
          </cell>
          <cell r="F826" t="str">
            <v>H</v>
          </cell>
          <cell r="G826" t="str">
            <v>ALTIMAX RT 365</v>
          </cell>
          <cell r="H826">
            <v>1557465</v>
          </cell>
          <cell r="I826">
            <v>52912</v>
          </cell>
          <cell r="J826">
            <v>0</v>
          </cell>
          <cell r="K826" t="str">
            <v>P0</v>
          </cell>
          <cell r="L826" t="str">
            <v>OOARO</v>
          </cell>
          <cell r="M826" t="str">
            <v>O</v>
          </cell>
          <cell r="N826" t="str">
            <v>O</v>
          </cell>
          <cell r="O826" t="str">
            <v>A</v>
          </cell>
          <cell r="P826" t="str">
            <v>R</v>
          </cell>
          <cell r="Q826" t="str">
            <v>O</v>
          </cell>
          <cell r="R826" t="str">
            <v>-</v>
          </cell>
        </row>
        <row r="827">
          <cell r="A827">
            <v>1557473</v>
          </cell>
          <cell r="B827" t="str">
            <v>-</v>
          </cell>
          <cell r="C827">
            <v>53</v>
          </cell>
          <cell r="D827" t="str">
            <v>205/50 R17</v>
          </cell>
          <cell r="E827">
            <v>93</v>
          </cell>
          <cell r="F827" t="str">
            <v>V</v>
          </cell>
          <cell r="G827" t="str">
            <v>ALTIMAX 365 XL</v>
          </cell>
          <cell r="H827">
            <v>1557473</v>
          </cell>
          <cell r="I827">
            <v>52549</v>
          </cell>
          <cell r="J827">
            <v>0</v>
          </cell>
          <cell r="K827" t="str">
            <v>P4</v>
          </cell>
          <cell r="L827" t="str">
            <v>OWYGW</v>
          </cell>
          <cell r="M827" t="str">
            <v>O</v>
          </cell>
          <cell r="N827" t="str">
            <v>W</v>
          </cell>
          <cell r="O827" t="str">
            <v>Y</v>
          </cell>
          <cell r="P827" t="str">
            <v>G</v>
          </cell>
          <cell r="Q827" t="str">
            <v>W</v>
          </cell>
          <cell r="R827" t="str">
            <v>-</v>
          </cell>
        </row>
        <row r="828">
          <cell r="A828">
            <v>1557474</v>
          </cell>
          <cell r="B828">
            <v>57</v>
          </cell>
          <cell r="C828">
            <v>2041</v>
          </cell>
          <cell r="D828" t="str">
            <v>215/60 R17</v>
          </cell>
          <cell r="E828">
            <v>96</v>
          </cell>
          <cell r="F828" t="str">
            <v>H</v>
          </cell>
          <cell r="G828" t="str">
            <v>ALTIMAX 365 AW</v>
          </cell>
          <cell r="H828">
            <v>1557474</v>
          </cell>
          <cell r="I828">
            <v>52092</v>
          </cell>
          <cell r="J828">
            <v>0</v>
          </cell>
          <cell r="K828" t="str">
            <v>P4</v>
          </cell>
          <cell r="L828" t="str">
            <v>YYYYY</v>
          </cell>
          <cell r="M828" t="str">
            <v>Y</v>
          </cell>
          <cell r="N828" t="str">
            <v>Y</v>
          </cell>
          <cell r="O828" t="str">
            <v>Y</v>
          </cell>
          <cell r="P828" t="str">
            <v>Y</v>
          </cell>
          <cell r="Q828" t="str">
            <v>Y</v>
          </cell>
          <cell r="R828" t="str">
            <v>-</v>
          </cell>
        </row>
        <row r="829">
          <cell r="A829">
            <v>1557480</v>
          </cell>
          <cell r="B829" t="str">
            <v>-</v>
          </cell>
          <cell r="C829">
            <v>5072</v>
          </cell>
          <cell r="D829" t="str">
            <v>225/60 R18</v>
          </cell>
          <cell r="E829">
            <v>100</v>
          </cell>
          <cell r="F829" t="str">
            <v>H</v>
          </cell>
          <cell r="G829" t="str">
            <v>ALTIMAX 365W</v>
          </cell>
          <cell r="H829">
            <v>1557480</v>
          </cell>
          <cell r="I829">
            <v>52710</v>
          </cell>
          <cell r="J829">
            <v>0</v>
          </cell>
          <cell r="K829" t="str">
            <v>P7</v>
          </cell>
          <cell r="L829" t="str">
            <v>AWGYO</v>
          </cell>
          <cell r="M829" t="str">
            <v>A</v>
          </cell>
          <cell r="N829" t="str">
            <v>W</v>
          </cell>
          <cell r="O829" t="str">
            <v>G</v>
          </cell>
          <cell r="P829" t="str">
            <v>Y</v>
          </cell>
          <cell r="Q829" t="str">
            <v>O</v>
          </cell>
          <cell r="R829" t="str">
            <v>-</v>
          </cell>
        </row>
        <row r="830">
          <cell r="A830">
            <v>1557481</v>
          </cell>
          <cell r="B830" t="str">
            <v>-</v>
          </cell>
          <cell r="C830">
            <v>2026</v>
          </cell>
          <cell r="D830" t="str">
            <v>225/55 R18</v>
          </cell>
          <cell r="E830">
            <v>98</v>
          </cell>
          <cell r="F830" t="str">
            <v>H</v>
          </cell>
          <cell r="G830" t="str">
            <v>ALTIMAX 365 AW</v>
          </cell>
          <cell r="H830">
            <v>1557481</v>
          </cell>
          <cell r="I830">
            <v>52028</v>
          </cell>
          <cell r="J830">
            <v>0</v>
          </cell>
          <cell r="K830" t="str">
            <v>P0</v>
          </cell>
          <cell r="L830" t="str">
            <v>OWYY</v>
          </cell>
          <cell r="M830" t="str">
            <v>O</v>
          </cell>
          <cell r="N830" t="str">
            <v>W</v>
          </cell>
          <cell r="O830" t="str">
            <v>Y</v>
          </cell>
          <cell r="P830" t="str">
            <v>Y</v>
          </cell>
          <cell r="Q830" t="str">
            <v/>
          </cell>
          <cell r="R830" t="str">
            <v>-</v>
          </cell>
        </row>
        <row r="831">
          <cell r="A831">
            <v>1557523</v>
          </cell>
          <cell r="B831" t="str">
            <v>-</v>
          </cell>
          <cell r="C831">
            <v>5002</v>
          </cell>
          <cell r="D831" t="str">
            <v>215/55 R17</v>
          </cell>
          <cell r="E831">
            <v>94</v>
          </cell>
          <cell r="F831" t="str">
            <v>V</v>
          </cell>
          <cell r="G831" t="str">
            <v>CONTROLCONTACT TOURMA/S</v>
          </cell>
          <cell r="H831">
            <v>1557523</v>
          </cell>
          <cell r="I831">
            <v>52918</v>
          </cell>
          <cell r="J831">
            <v>0</v>
          </cell>
          <cell r="K831" t="str">
            <v>P0</v>
          </cell>
          <cell r="L831" t="str">
            <v>AAGGG</v>
          </cell>
          <cell r="M831" t="str">
            <v>A</v>
          </cell>
          <cell r="N831" t="str">
            <v>A</v>
          </cell>
          <cell r="O831" t="str">
            <v>G</v>
          </cell>
          <cell r="P831" t="str">
            <v>G</v>
          </cell>
          <cell r="Q831" t="str">
            <v>G</v>
          </cell>
          <cell r="R831" t="str">
            <v>-</v>
          </cell>
        </row>
        <row r="832">
          <cell r="A832">
            <v>1557568</v>
          </cell>
          <cell r="B832">
            <v>408</v>
          </cell>
          <cell r="C832">
            <v>4073</v>
          </cell>
          <cell r="D832" t="str">
            <v>225/45 R19</v>
          </cell>
          <cell r="E832">
            <v>92</v>
          </cell>
          <cell r="F832" t="str">
            <v>Y</v>
          </cell>
          <cell r="G832" t="str">
            <v>CC SPORT SRS+</v>
          </cell>
          <cell r="H832">
            <v>1557568</v>
          </cell>
          <cell r="I832">
            <v>52728</v>
          </cell>
          <cell r="J832">
            <v>0</v>
          </cell>
          <cell r="K832" t="str">
            <v>P7</v>
          </cell>
          <cell r="L832" t="str">
            <v>AAAGA</v>
          </cell>
          <cell r="M832" t="str">
            <v>A</v>
          </cell>
          <cell r="N832" t="str">
            <v>A</v>
          </cell>
          <cell r="O832" t="str">
            <v>A</v>
          </cell>
          <cell r="P832" t="str">
            <v>G</v>
          </cell>
          <cell r="Q832" t="str">
            <v>A</v>
          </cell>
          <cell r="R832" t="str">
            <v>-</v>
          </cell>
        </row>
        <row r="833">
          <cell r="A833">
            <v>1557571</v>
          </cell>
          <cell r="B833">
            <v>104</v>
          </cell>
          <cell r="C833">
            <v>6033</v>
          </cell>
          <cell r="D833" t="str">
            <v>235/45 R17</v>
          </cell>
          <cell r="E833">
            <v>94</v>
          </cell>
          <cell r="F833" t="str">
            <v>W</v>
          </cell>
          <cell r="G833" t="str">
            <v>CONTROLCONTACT</v>
          </cell>
          <cell r="H833">
            <v>1557571</v>
          </cell>
          <cell r="I833">
            <v>52264</v>
          </cell>
          <cell r="J833">
            <v>0</v>
          </cell>
          <cell r="K833" t="str">
            <v>P7</v>
          </cell>
          <cell r="L833" t="str">
            <v>AAAYR</v>
          </cell>
          <cell r="M833" t="str">
            <v>A</v>
          </cell>
          <cell r="N833" t="str">
            <v>A</v>
          </cell>
          <cell r="O833" t="str">
            <v>A</v>
          </cell>
          <cell r="P833" t="str">
            <v>Y</v>
          </cell>
          <cell r="Q833" t="str">
            <v>R</v>
          </cell>
          <cell r="R833" t="str">
            <v>-</v>
          </cell>
        </row>
        <row r="834">
          <cell r="A834">
            <v>1557575</v>
          </cell>
          <cell r="B834">
            <v>209</v>
          </cell>
          <cell r="C834">
            <v>58049</v>
          </cell>
          <cell r="D834" t="str">
            <v>245/40 R17</v>
          </cell>
          <cell r="E834">
            <v>91</v>
          </cell>
          <cell r="F834" t="str">
            <v>W</v>
          </cell>
          <cell r="G834" t="str">
            <v>CONTROLCONTACT SPORT</v>
          </cell>
          <cell r="H834">
            <v>1557575</v>
          </cell>
          <cell r="I834">
            <v>52190</v>
          </cell>
          <cell r="J834">
            <v>0</v>
          </cell>
          <cell r="K834" t="str">
            <v>P7</v>
          </cell>
          <cell r="L834" t="str">
            <v>AYGG</v>
          </cell>
          <cell r="M834" t="str">
            <v>A</v>
          </cell>
          <cell r="N834" t="str">
            <v>Y</v>
          </cell>
          <cell r="O834" t="str">
            <v>G</v>
          </cell>
          <cell r="P834" t="str">
            <v>G</v>
          </cell>
          <cell r="Q834" t="str">
            <v/>
          </cell>
          <cell r="R834" t="str">
            <v>-</v>
          </cell>
        </row>
        <row r="835">
          <cell r="A835">
            <v>1557584</v>
          </cell>
          <cell r="B835">
            <v>488</v>
          </cell>
          <cell r="C835">
            <v>4086</v>
          </cell>
          <cell r="D835" t="str">
            <v>255/40 R18</v>
          </cell>
          <cell r="E835">
            <v>99</v>
          </cell>
          <cell r="F835" t="str">
            <v>Y</v>
          </cell>
          <cell r="G835" t="str">
            <v>CC SPORT SRS+ XL</v>
          </cell>
          <cell r="H835">
            <v>1557584</v>
          </cell>
          <cell r="I835">
            <v>52485</v>
          </cell>
          <cell r="J835">
            <v>0</v>
          </cell>
          <cell r="K835" t="str">
            <v>P7</v>
          </cell>
          <cell r="L835" t="str">
            <v>OGR</v>
          </cell>
          <cell r="M835" t="str">
            <v>O</v>
          </cell>
          <cell r="N835" t="str">
            <v>G</v>
          </cell>
          <cell r="O835" t="str">
            <v>R</v>
          </cell>
          <cell r="P835" t="str">
            <v/>
          </cell>
          <cell r="Q835" t="str">
            <v/>
          </cell>
          <cell r="R835" t="str">
            <v>-</v>
          </cell>
        </row>
        <row r="836">
          <cell r="A836">
            <v>1557601</v>
          </cell>
          <cell r="B836" t="str">
            <v>-</v>
          </cell>
          <cell r="C836">
            <v>4096</v>
          </cell>
          <cell r="D836" t="str">
            <v>185/55 R16</v>
          </cell>
          <cell r="E836">
            <v>87</v>
          </cell>
          <cell r="F836" t="str">
            <v>H</v>
          </cell>
          <cell r="G836" t="str">
            <v>ALTIMAX RT45 XL</v>
          </cell>
          <cell r="H836">
            <v>1557601</v>
          </cell>
          <cell r="I836">
            <v>52186</v>
          </cell>
          <cell r="J836">
            <v>0</v>
          </cell>
          <cell r="K836" t="str">
            <v>P0</v>
          </cell>
          <cell r="L836" t="str">
            <v>AWR</v>
          </cell>
          <cell r="M836" t="str">
            <v>A</v>
          </cell>
          <cell r="N836" t="str">
            <v>W</v>
          </cell>
          <cell r="O836" t="str">
            <v>R</v>
          </cell>
          <cell r="P836" t="str">
            <v/>
          </cell>
          <cell r="Q836" t="str">
            <v/>
          </cell>
          <cell r="R836" t="str">
            <v>-</v>
          </cell>
        </row>
        <row r="837">
          <cell r="A837">
            <v>1557611</v>
          </cell>
          <cell r="B837" t="str">
            <v>-</v>
          </cell>
          <cell r="C837">
            <v>5099</v>
          </cell>
          <cell r="D837" t="str">
            <v>195/50 R16</v>
          </cell>
          <cell r="E837">
            <v>84</v>
          </cell>
          <cell r="F837" t="str">
            <v>H</v>
          </cell>
          <cell r="G837" t="str">
            <v>ALTIMAX RT45</v>
          </cell>
          <cell r="H837">
            <v>1557611</v>
          </cell>
          <cell r="I837">
            <v>52606</v>
          </cell>
          <cell r="J837">
            <v>0</v>
          </cell>
          <cell r="K837" t="str">
            <v>P0</v>
          </cell>
          <cell r="L837" t="str">
            <v>AAGAW</v>
          </cell>
          <cell r="M837" t="str">
            <v>A</v>
          </cell>
          <cell r="N837" t="str">
            <v>A</v>
          </cell>
          <cell r="O837" t="str">
            <v>G</v>
          </cell>
          <cell r="P837" t="str">
            <v>A</v>
          </cell>
          <cell r="Q837" t="str">
            <v>W</v>
          </cell>
          <cell r="R837" t="str">
            <v>-</v>
          </cell>
        </row>
        <row r="838">
          <cell r="A838">
            <v>1557627</v>
          </cell>
          <cell r="B838" t="str">
            <v>-</v>
          </cell>
          <cell r="C838">
            <v>5110</v>
          </cell>
          <cell r="D838" t="str">
            <v>215/55 R17</v>
          </cell>
          <cell r="E838">
            <v>94</v>
          </cell>
          <cell r="F838" t="str">
            <v>T</v>
          </cell>
          <cell r="G838" t="str">
            <v>ALTIMAX RT45</v>
          </cell>
          <cell r="H838">
            <v>1557627</v>
          </cell>
          <cell r="I838">
            <v>52619</v>
          </cell>
          <cell r="J838">
            <v>0</v>
          </cell>
          <cell r="K838" t="str">
            <v>P0</v>
          </cell>
          <cell r="L838" t="str">
            <v>AWAYY</v>
          </cell>
          <cell r="M838" t="str">
            <v>A</v>
          </cell>
          <cell r="N838" t="str">
            <v>W</v>
          </cell>
          <cell r="O838" t="str">
            <v>A</v>
          </cell>
          <cell r="P838" t="str">
            <v>Y</v>
          </cell>
          <cell r="Q838" t="str">
            <v>Y</v>
          </cell>
          <cell r="R838" t="str">
            <v>-</v>
          </cell>
        </row>
        <row r="839">
          <cell r="A839">
            <v>1557628</v>
          </cell>
          <cell r="B839" t="str">
            <v>-</v>
          </cell>
          <cell r="C839">
            <v>5210</v>
          </cell>
          <cell r="D839" t="str">
            <v>215/55 R18</v>
          </cell>
          <cell r="E839">
            <v>95</v>
          </cell>
          <cell r="F839" t="str">
            <v>T</v>
          </cell>
          <cell r="G839" t="str">
            <v>ALTIMAX RT45</v>
          </cell>
          <cell r="H839">
            <v>1557628</v>
          </cell>
          <cell r="I839">
            <v>52345</v>
          </cell>
          <cell r="J839">
            <v>0</v>
          </cell>
          <cell r="K839" t="str">
            <v>P0</v>
          </cell>
          <cell r="L839" t="str">
            <v>YWRGO</v>
          </cell>
          <cell r="M839" t="str">
            <v>Y</v>
          </cell>
          <cell r="N839" t="str">
            <v>W</v>
          </cell>
          <cell r="O839" t="str">
            <v>R</v>
          </cell>
          <cell r="P839" t="str">
            <v>G</v>
          </cell>
          <cell r="Q839" t="str">
            <v>O</v>
          </cell>
          <cell r="R839" t="str">
            <v>-</v>
          </cell>
        </row>
        <row r="840">
          <cell r="A840">
            <v>1557631</v>
          </cell>
          <cell r="B840">
            <v>57</v>
          </cell>
          <cell r="C840">
            <v>2041</v>
          </cell>
          <cell r="D840" t="str">
            <v>215/60 R17</v>
          </cell>
          <cell r="E840">
            <v>96</v>
          </cell>
          <cell r="F840" t="str">
            <v>T</v>
          </cell>
          <cell r="G840" t="str">
            <v>ALTIMAX RT 45</v>
          </cell>
          <cell r="H840">
            <v>1557631</v>
          </cell>
          <cell r="I840">
            <v>52092</v>
          </cell>
          <cell r="J840">
            <v>0</v>
          </cell>
          <cell r="K840" t="str">
            <v>P4</v>
          </cell>
          <cell r="L840" t="str">
            <v>YYYYY</v>
          </cell>
          <cell r="M840" t="str">
            <v>Y</v>
          </cell>
          <cell r="N840" t="str">
            <v>Y</v>
          </cell>
          <cell r="O840" t="str">
            <v>Y</v>
          </cell>
          <cell r="P840" t="str">
            <v>Y</v>
          </cell>
          <cell r="Q840" t="str">
            <v>Y</v>
          </cell>
          <cell r="R840" t="str">
            <v>-</v>
          </cell>
        </row>
        <row r="841">
          <cell r="A841">
            <v>1557638</v>
          </cell>
          <cell r="B841" t="str">
            <v>-</v>
          </cell>
          <cell r="C841">
            <v>6092</v>
          </cell>
          <cell r="D841" t="str">
            <v>225/50 R17</v>
          </cell>
          <cell r="E841">
            <v>98</v>
          </cell>
          <cell r="F841" t="str">
            <v>T</v>
          </cell>
          <cell r="G841" t="str">
            <v>ALTIMAX RT 45 XL</v>
          </cell>
          <cell r="H841">
            <v>1557638</v>
          </cell>
          <cell r="I841">
            <v>52592</v>
          </cell>
          <cell r="J841">
            <v>0</v>
          </cell>
          <cell r="K841" t="str">
            <v>P0</v>
          </cell>
          <cell r="L841" t="str">
            <v>AROW</v>
          </cell>
          <cell r="M841" t="str">
            <v>A</v>
          </cell>
          <cell r="N841" t="str">
            <v>R</v>
          </cell>
          <cell r="O841" t="str">
            <v>O</v>
          </cell>
          <cell r="P841" t="str">
            <v>W</v>
          </cell>
          <cell r="Q841" t="str">
            <v/>
          </cell>
          <cell r="R841" t="str">
            <v>-</v>
          </cell>
        </row>
        <row r="842">
          <cell r="A842">
            <v>1557642</v>
          </cell>
          <cell r="B842" t="str">
            <v>-</v>
          </cell>
          <cell r="C842">
            <v>3022</v>
          </cell>
          <cell r="D842" t="str">
            <v>225/55 R18</v>
          </cell>
          <cell r="E842">
            <v>98</v>
          </cell>
          <cell r="F842" t="str">
            <v>H</v>
          </cell>
          <cell r="G842" t="str">
            <v>ALTIMAX RT</v>
          </cell>
          <cell r="H842">
            <v>1557642</v>
          </cell>
          <cell r="I842">
            <v>52022</v>
          </cell>
          <cell r="J842">
            <v>0</v>
          </cell>
          <cell r="K842" t="str">
            <v>P0</v>
          </cell>
          <cell r="L842" t="str">
            <v>GWAA</v>
          </cell>
          <cell r="M842" t="str">
            <v>G</v>
          </cell>
          <cell r="N842" t="str">
            <v>W</v>
          </cell>
          <cell r="O842" t="str">
            <v>A</v>
          </cell>
          <cell r="P842" t="str">
            <v>A</v>
          </cell>
          <cell r="Q842" t="str">
            <v/>
          </cell>
          <cell r="R842" t="str">
            <v>-</v>
          </cell>
        </row>
        <row r="843">
          <cell r="A843">
            <v>1557643</v>
          </cell>
          <cell r="B843" t="str">
            <v>-</v>
          </cell>
          <cell r="C843">
            <v>6187</v>
          </cell>
          <cell r="D843" t="str">
            <v>225/55 R19</v>
          </cell>
          <cell r="E843">
            <v>99</v>
          </cell>
          <cell r="F843" t="str">
            <v>H</v>
          </cell>
          <cell r="G843" t="str">
            <v>ALTIMAX RT</v>
          </cell>
          <cell r="H843">
            <v>1557643</v>
          </cell>
          <cell r="I843">
            <v>52914</v>
          </cell>
          <cell r="J843">
            <v>0</v>
          </cell>
          <cell r="K843" t="str">
            <v>P0</v>
          </cell>
          <cell r="L843" t="str">
            <v>OGYYW</v>
          </cell>
          <cell r="M843" t="str">
            <v>O</v>
          </cell>
          <cell r="N843" t="str">
            <v>G</v>
          </cell>
          <cell r="O843" t="str">
            <v>Y</v>
          </cell>
          <cell r="P843" t="str">
            <v>Y</v>
          </cell>
          <cell r="Q843" t="str">
            <v>W</v>
          </cell>
          <cell r="R843" t="str">
            <v>-</v>
          </cell>
        </row>
        <row r="844">
          <cell r="A844">
            <v>1557648</v>
          </cell>
          <cell r="B844" t="str">
            <v>-</v>
          </cell>
          <cell r="C844">
            <v>5072</v>
          </cell>
          <cell r="D844" t="str">
            <v>225/60 R18</v>
          </cell>
          <cell r="E844">
            <v>100</v>
          </cell>
          <cell r="F844" t="str">
            <v>H</v>
          </cell>
          <cell r="G844" t="str">
            <v>ALTIMAX RT45</v>
          </cell>
          <cell r="H844">
            <v>1557648</v>
          </cell>
          <cell r="I844">
            <v>52710</v>
          </cell>
          <cell r="J844">
            <v>0</v>
          </cell>
          <cell r="K844" t="str">
            <v>P7</v>
          </cell>
          <cell r="L844" t="str">
            <v>AWGYO</v>
          </cell>
          <cell r="M844" t="str">
            <v>A</v>
          </cell>
          <cell r="N844" t="str">
            <v>W</v>
          </cell>
          <cell r="O844" t="str">
            <v>G</v>
          </cell>
          <cell r="P844" t="str">
            <v>Y</v>
          </cell>
          <cell r="Q844" t="str">
            <v>O</v>
          </cell>
          <cell r="R844" t="str">
            <v>-</v>
          </cell>
        </row>
        <row r="845">
          <cell r="A845">
            <v>1557656</v>
          </cell>
          <cell r="B845" t="str">
            <v>-</v>
          </cell>
          <cell r="C845">
            <v>5154</v>
          </cell>
          <cell r="D845" t="str">
            <v>235/50 R18</v>
          </cell>
          <cell r="E845">
            <v>97</v>
          </cell>
          <cell r="F845" t="str">
            <v>H</v>
          </cell>
          <cell r="G845" t="str">
            <v>ALTIMAX RT43</v>
          </cell>
          <cell r="H845">
            <v>1557656</v>
          </cell>
          <cell r="I845">
            <v>52902</v>
          </cell>
          <cell r="J845">
            <v>0</v>
          </cell>
          <cell r="K845" t="str">
            <v>P3</v>
          </cell>
          <cell r="L845" t="str">
            <v>ARR</v>
          </cell>
          <cell r="M845" t="str">
            <v>A</v>
          </cell>
          <cell r="N845" t="str">
            <v>R</v>
          </cell>
          <cell r="O845" t="str">
            <v>R</v>
          </cell>
          <cell r="P845" t="str">
            <v/>
          </cell>
          <cell r="Q845" t="str">
            <v/>
          </cell>
          <cell r="R845" t="str">
            <v>-</v>
          </cell>
        </row>
        <row r="846">
          <cell r="A846">
            <v>1557659</v>
          </cell>
          <cell r="B846" t="str">
            <v>-</v>
          </cell>
          <cell r="C846">
            <v>4141</v>
          </cell>
          <cell r="D846" t="str">
            <v>235/55 R18</v>
          </cell>
          <cell r="E846">
            <v>100</v>
          </cell>
          <cell r="F846" t="str">
            <v>H</v>
          </cell>
          <cell r="G846" t="str">
            <v>ALTIMAX RT43</v>
          </cell>
          <cell r="H846">
            <v>1557659</v>
          </cell>
          <cell r="I846">
            <v>52665</v>
          </cell>
          <cell r="J846">
            <v>0</v>
          </cell>
          <cell r="K846" t="str">
            <v>P0</v>
          </cell>
          <cell r="L846" t="str">
            <v>AAAG</v>
          </cell>
          <cell r="M846" t="str">
            <v>A</v>
          </cell>
          <cell r="N846" t="str">
            <v>A</v>
          </cell>
          <cell r="O846" t="str">
            <v>A</v>
          </cell>
          <cell r="P846" t="str">
            <v>G</v>
          </cell>
          <cell r="Q846" t="str">
            <v/>
          </cell>
          <cell r="R846" t="str">
            <v>-</v>
          </cell>
        </row>
        <row r="847">
          <cell r="A847">
            <v>1557679</v>
          </cell>
          <cell r="B847" t="str">
            <v>-</v>
          </cell>
          <cell r="C847">
            <v>3070</v>
          </cell>
          <cell r="D847" t="str">
            <v>215/50 R17</v>
          </cell>
          <cell r="E847">
            <v>95</v>
          </cell>
          <cell r="F847" t="str">
            <v>V</v>
          </cell>
          <cell r="G847" t="str">
            <v>EVERTREK XL</v>
          </cell>
          <cell r="H847">
            <v>1557679</v>
          </cell>
          <cell r="I847">
            <v>52440</v>
          </cell>
          <cell r="J847">
            <v>0</v>
          </cell>
          <cell r="K847" t="str">
            <v>P3</v>
          </cell>
          <cell r="L847" t="str">
            <v>AAAWR</v>
          </cell>
          <cell r="M847" t="str">
            <v>A</v>
          </cell>
          <cell r="N847" t="str">
            <v>A</v>
          </cell>
          <cell r="O847" t="str">
            <v>A</v>
          </cell>
          <cell r="P847" t="str">
            <v>W</v>
          </cell>
          <cell r="Q847" t="str">
            <v>R</v>
          </cell>
          <cell r="R847" t="str">
            <v>-</v>
          </cell>
        </row>
        <row r="848">
          <cell r="A848">
            <v>1557680</v>
          </cell>
          <cell r="B848" t="str">
            <v>-</v>
          </cell>
          <cell r="C848">
            <v>5310</v>
          </cell>
          <cell r="D848" t="str">
            <v>215/55 R18</v>
          </cell>
          <cell r="E848">
            <v>95</v>
          </cell>
          <cell r="F848" t="str">
            <v>H</v>
          </cell>
          <cell r="G848" t="str">
            <v>EVERTREK GT</v>
          </cell>
          <cell r="H848">
            <v>1557680</v>
          </cell>
          <cell r="I848">
            <v>52905</v>
          </cell>
          <cell r="J848">
            <v>0</v>
          </cell>
          <cell r="K848" t="str">
            <v>P0</v>
          </cell>
          <cell r="L848" t="str">
            <v>AAGOW</v>
          </cell>
          <cell r="M848" t="str">
            <v>A</v>
          </cell>
          <cell r="N848" t="str">
            <v>A</v>
          </cell>
          <cell r="O848" t="str">
            <v>G</v>
          </cell>
          <cell r="P848" t="str">
            <v>O</v>
          </cell>
          <cell r="Q848" t="str">
            <v>W</v>
          </cell>
          <cell r="R848" t="str">
            <v>-</v>
          </cell>
        </row>
        <row r="849">
          <cell r="A849">
            <v>1557682</v>
          </cell>
          <cell r="B849">
            <v>57</v>
          </cell>
          <cell r="C849">
            <v>2041</v>
          </cell>
          <cell r="D849" t="str">
            <v>215/60 R17</v>
          </cell>
          <cell r="E849">
            <v>96</v>
          </cell>
          <cell r="F849" t="str">
            <v>H</v>
          </cell>
          <cell r="G849" t="str">
            <v>EVERTREK GT</v>
          </cell>
          <cell r="H849">
            <v>1557682</v>
          </cell>
          <cell r="I849">
            <v>52092</v>
          </cell>
          <cell r="J849">
            <v>0</v>
          </cell>
          <cell r="K849" t="str">
            <v>P4</v>
          </cell>
          <cell r="L849" t="str">
            <v>YYYYY</v>
          </cell>
          <cell r="M849" t="str">
            <v>Y</v>
          </cell>
          <cell r="N849" t="str">
            <v>Y</v>
          </cell>
          <cell r="O849" t="str">
            <v>Y</v>
          </cell>
          <cell r="P849" t="str">
            <v>Y</v>
          </cell>
          <cell r="Q849" t="str">
            <v>Y</v>
          </cell>
          <cell r="R849" t="str">
            <v>-</v>
          </cell>
        </row>
        <row r="850">
          <cell r="A850">
            <v>1557691</v>
          </cell>
          <cell r="B850" t="str">
            <v>-</v>
          </cell>
          <cell r="C850">
            <v>112</v>
          </cell>
          <cell r="D850" t="str">
            <v>205/50 R17</v>
          </cell>
          <cell r="E850">
            <v>93</v>
          </cell>
          <cell r="F850" t="str">
            <v>V</v>
          </cell>
          <cell r="G850" t="str">
            <v>EVERTREK GT XL</v>
          </cell>
          <cell r="H850">
            <v>1557691</v>
          </cell>
          <cell r="I850">
            <v>52547</v>
          </cell>
          <cell r="J850">
            <v>0</v>
          </cell>
          <cell r="K850" t="str">
            <v>P4</v>
          </cell>
          <cell r="L850" t="str">
            <v>AAWRY</v>
          </cell>
          <cell r="M850" t="str">
            <v>A</v>
          </cell>
          <cell r="N850" t="str">
            <v>A</v>
          </cell>
          <cell r="O850" t="str">
            <v>W</v>
          </cell>
          <cell r="P850" t="str">
            <v>R</v>
          </cell>
          <cell r="Q850" t="str">
            <v>Y</v>
          </cell>
          <cell r="R850" t="str">
            <v>-</v>
          </cell>
        </row>
        <row r="851">
          <cell r="A851">
            <v>1557695</v>
          </cell>
          <cell r="B851" t="str">
            <v>-</v>
          </cell>
          <cell r="C851">
            <v>5099</v>
          </cell>
          <cell r="D851" t="str">
            <v>195/50 R16</v>
          </cell>
          <cell r="E851">
            <v>84</v>
          </cell>
          <cell r="F851" t="str">
            <v>H</v>
          </cell>
          <cell r="G851" t="str">
            <v>EVERTREK GT</v>
          </cell>
          <cell r="H851">
            <v>1557695</v>
          </cell>
          <cell r="I851">
            <v>52606</v>
          </cell>
          <cell r="J851">
            <v>0</v>
          </cell>
          <cell r="K851" t="str">
            <v>P0</v>
          </cell>
          <cell r="L851" t="str">
            <v>AAGAW</v>
          </cell>
          <cell r="M851" t="str">
            <v>A</v>
          </cell>
          <cell r="N851" t="str">
            <v>A</v>
          </cell>
          <cell r="O851" t="str">
            <v>G</v>
          </cell>
          <cell r="P851" t="str">
            <v>A</v>
          </cell>
          <cell r="Q851" t="str">
            <v>W</v>
          </cell>
          <cell r="R851" t="str">
            <v>-</v>
          </cell>
        </row>
        <row r="852">
          <cell r="A852">
            <v>1557699</v>
          </cell>
          <cell r="B852" t="str">
            <v>-</v>
          </cell>
          <cell r="C852">
            <v>5020</v>
          </cell>
          <cell r="D852" t="str">
            <v>215/55 R17</v>
          </cell>
          <cell r="E852">
            <v>94</v>
          </cell>
          <cell r="F852" t="str">
            <v>V</v>
          </cell>
          <cell r="G852" t="str">
            <v>EVERTREK GT</v>
          </cell>
          <cell r="H852">
            <v>1557699</v>
          </cell>
          <cell r="I852">
            <v>52570</v>
          </cell>
          <cell r="J852">
            <v>0</v>
          </cell>
          <cell r="K852" t="str">
            <v>P0</v>
          </cell>
          <cell r="L852" t="str">
            <v>GOYAW</v>
          </cell>
          <cell r="M852" t="str">
            <v>G</v>
          </cell>
          <cell r="N852" t="str">
            <v>O</v>
          </cell>
          <cell r="O852" t="str">
            <v>Y</v>
          </cell>
          <cell r="P852" t="str">
            <v>A</v>
          </cell>
          <cell r="Q852" t="str">
            <v>W</v>
          </cell>
          <cell r="R852" t="str">
            <v>-</v>
          </cell>
        </row>
        <row r="853">
          <cell r="A853">
            <v>1557700</v>
          </cell>
          <cell r="B853" t="str">
            <v>-</v>
          </cell>
          <cell r="C853">
            <v>4005</v>
          </cell>
          <cell r="D853" t="str">
            <v>225/45 R17</v>
          </cell>
          <cell r="E853">
            <v>94</v>
          </cell>
          <cell r="F853" t="str">
            <v>V</v>
          </cell>
          <cell r="G853" t="str">
            <v>EVERTREK GT XL</v>
          </cell>
          <cell r="H853">
            <v>1557700</v>
          </cell>
          <cell r="I853">
            <v>52302</v>
          </cell>
          <cell r="J853">
            <v>0</v>
          </cell>
          <cell r="K853" t="str">
            <v>P3</v>
          </cell>
          <cell r="L853" t="str">
            <v>RRAAO</v>
          </cell>
          <cell r="M853" t="str">
            <v>R</v>
          </cell>
          <cell r="N853" t="str">
            <v>R</v>
          </cell>
          <cell r="O853" t="str">
            <v>A</v>
          </cell>
          <cell r="P853" t="str">
            <v>A</v>
          </cell>
          <cell r="Q853" t="str">
            <v>O</v>
          </cell>
          <cell r="R853" t="str">
            <v>-</v>
          </cell>
        </row>
        <row r="854">
          <cell r="A854">
            <v>1557701</v>
          </cell>
          <cell r="B854" t="str">
            <v>-</v>
          </cell>
          <cell r="C854">
            <v>6292</v>
          </cell>
          <cell r="D854" t="str">
            <v>225/50 R17</v>
          </cell>
          <cell r="E854">
            <v>98</v>
          </cell>
          <cell r="F854" t="str">
            <v>V</v>
          </cell>
          <cell r="G854" t="str">
            <v>EVERTREK GT XL</v>
          </cell>
          <cell r="H854">
            <v>1557701</v>
          </cell>
          <cell r="I854">
            <v>52598</v>
          </cell>
          <cell r="J854">
            <v>0</v>
          </cell>
          <cell r="K854" t="str">
            <v>P0</v>
          </cell>
          <cell r="L854" t="str">
            <v>OWGY</v>
          </cell>
          <cell r="M854" t="str">
            <v>O</v>
          </cell>
          <cell r="N854" t="str">
            <v>W</v>
          </cell>
          <cell r="O854" t="str">
            <v>G</v>
          </cell>
          <cell r="P854" t="str">
            <v>Y</v>
          </cell>
          <cell r="Q854" t="str">
            <v/>
          </cell>
          <cell r="R854" t="str">
            <v>-</v>
          </cell>
        </row>
        <row r="855">
          <cell r="A855">
            <v>1557705</v>
          </cell>
          <cell r="B855" t="str">
            <v>-</v>
          </cell>
          <cell r="C855">
            <v>5254</v>
          </cell>
          <cell r="D855" t="str">
            <v>235/50 R18</v>
          </cell>
          <cell r="E855">
            <v>97</v>
          </cell>
          <cell r="F855" t="str">
            <v>V</v>
          </cell>
          <cell r="G855" t="str">
            <v>EVERTREK</v>
          </cell>
          <cell r="H855">
            <v>1557705</v>
          </cell>
          <cell r="I855">
            <v>52903</v>
          </cell>
          <cell r="J855">
            <v>0</v>
          </cell>
          <cell r="K855" t="str">
            <v>P3</v>
          </cell>
          <cell r="L855" t="str">
            <v>AYY</v>
          </cell>
          <cell r="M855" t="str">
            <v>A</v>
          </cell>
          <cell r="N855" t="str">
            <v>Y</v>
          </cell>
          <cell r="O855" t="str">
            <v>Y</v>
          </cell>
          <cell r="P855" t="str">
            <v/>
          </cell>
          <cell r="Q855" t="str">
            <v/>
          </cell>
          <cell r="R855" t="str">
            <v>-</v>
          </cell>
        </row>
        <row r="856">
          <cell r="A856">
            <v>1557721</v>
          </cell>
          <cell r="B856">
            <v>936</v>
          </cell>
          <cell r="C856">
            <v>3037</v>
          </cell>
          <cell r="D856" t="str">
            <v>235/50 R19</v>
          </cell>
          <cell r="E856">
            <v>99</v>
          </cell>
          <cell r="F856" t="str">
            <v>H</v>
          </cell>
          <cell r="G856" t="str">
            <v>ALTIMAX RT</v>
          </cell>
          <cell r="H856">
            <v>1557721</v>
          </cell>
          <cell r="I856">
            <v>52136</v>
          </cell>
          <cell r="J856">
            <v>0</v>
          </cell>
          <cell r="K856" t="str">
            <v>P4</v>
          </cell>
          <cell r="L856" t="str">
            <v>RRWA</v>
          </cell>
          <cell r="M856" t="str">
            <v>R</v>
          </cell>
          <cell r="N856" t="str">
            <v>R</v>
          </cell>
          <cell r="O856" t="str">
            <v>W</v>
          </cell>
          <cell r="P856" t="str">
            <v>A</v>
          </cell>
          <cell r="Q856" t="str">
            <v/>
          </cell>
          <cell r="R856" t="str">
            <v>-</v>
          </cell>
        </row>
        <row r="857">
          <cell r="A857">
            <v>1557727</v>
          </cell>
          <cell r="B857">
            <v>136</v>
          </cell>
          <cell r="C857">
            <v>4134</v>
          </cell>
          <cell r="D857" t="str">
            <v>205/45 R17</v>
          </cell>
          <cell r="E857">
            <v>88</v>
          </cell>
          <cell r="F857" t="str">
            <v>V</v>
          </cell>
          <cell r="G857" t="str">
            <v>ALTIMAX RT 45 XL</v>
          </cell>
          <cell r="H857">
            <v>1557727</v>
          </cell>
          <cell r="I857">
            <v>52137</v>
          </cell>
          <cell r="J857">
            <v>0</v>
          </cell>
          <cell r="K857" t="str">
            <v>P4</v>
          </cell>
          <cell r="L857" t="str">
            <v>YRRGY</v>
          </cell>
          <cell r="M857" t="str">
            <v>Y</v>
          </cell>
          <cell r="N857" t="str">
            <v>R</v>
          </cell>
          <cell r="O857" t="str">
            <v>R</v>
          </cell>
          <cell r="P857" t="str">
            <v>G</v>
          </cell>
          <cell r="Q857" t="str">
            <v>Y</v>
          </cell>
          <cell r="R857" t="str">
            <v>-</v>
          </cell>
        </row>
        <row r="858">
          <cell r="A858">
            <v>1557728</v>
          </cell>
          <cell r="B858">
            <v>779</v>
          </cell>
          <cell r="C858">
            <v>4058</v>
          </cell>
          <cell r="D858" t="str">
            <v>205/50 R16</v>
          </cell>
          <cell r="E858">
            <v>87</v>
          </cell>
          <cell r="F858" t="str">
            <v>H</v>
          </cell>
          <cell r="G858" t="str">
            <v>ALTIMAX RT 45</v>
          </cell>
          <cell r="H858">
            <v>1557728</v>
          </cell>
          <cell r="I858">
            <v>52780</v>
          </cell>
          <cell r="J858">
            <v>0</v>
          </cell>
          <cell r="K858" t="str">
            <v>P4</v>
          </cell>
          <cell r="L858" t="str">
            <v>GAAR</v>
          </cell>
          <cell r="M858" t="str">
            <v>G</v>
          </cell>
          <cell r="N858" t="str">
            <v>A</v>
          </cell>
          <cell r="O858" t="str">
            <v>A</v>
          </cell>
          <cell r="P858" t="str">
            <v>R</v>
          </cell>
          <cell r="Q858" t="str">
            <v/>
          </cell>
          <cell r="R858" t="str">
            <v>-</v>
          </cell>
        </row>
        <row r="859">
          <cell r="A859">
            <v>1557729</v>
          </cell>
          <cell r="B859" t="str">
            <v>-</v>
          </cell>
          <cell r="C859">
            <v>112</v>
          </cell>
          <cell r="D859" t="str">
            <v>205/50 R17</v>
          </cell>
          <cell r="E859">
            <v>93</v>
          </cell>
          <cell r="F859" t="str">
            <v>V</v>
          </cell>
          <cell r="G859" t="str">
            <v>ALTIMAX RT XL</v>
          </cell>
          <cell r="H859">
            <v>1557729</v>
          </cell>
          <cell r="I859">
            <v>52547</v>
          </cell>
          <cell r="J859">
            <v>0</v>
          </cell>
          <cell r="K859" t="str">
            <v>P4</v>
          </cell>
          <cell r="L859" t="str">
            <v>AAWRY</v>
          </cell>
          <cell r="M859" t="str">
            <v>A</v>
          </cell>
          <cell r="N859" t="str">
            <v>A</v>
          </cell>
          <cell r="O859" t="str">
            <v>W</v>
          </cell>
          <cell r="P859" t="str">
            <v>R</v>
          </cell>
          <cell r="Q859" t="str">
            <v>Y</v>
          </cell>
          <cell r="R859" t="str">
            <v>-</v>
          </cell>
        </row>
        <row r="860">
          <cell r="A860">
            <v>1557736</v>
          </cell>
          <cell r="B860" t="str">
            <v>-</v>
          </cell>
          <cell r="C860">
            <v>3070</v>
          </cell>
          <cell r="D860" t="str">
            <v>215/50 R17</v>
          </cell>
          <cell r="E860">
            <v>95</v>
          </cell>
          <cell r="F860" t="str">
            <v>V</v>
          </cell>
          <cell r="G860" t="str">
            <v>ALTIMAX RT 45 XL</v>
          </cell>
          <cell r="H860">
            <v>1557736</v>
          </cell>
          <cell r="I860">
            <v>52440</v>
          </cell>
          <cell r="J860">
            <v>0</v>
          </cell>
          <cell r="K860" t="str">
            <v>P3</v>
          </cell>
          <cell r="L860" t="str">
            <v>AAAWR</v>
          </cell>
          <cell r="M860" t="str">
            <v>A</v>
          </cell>
          <cell r="N860" t="str">
            <v>A</v>
          </cell>
          <cell r="O860" t="str">
            <v>A</v>
          </cell>
          <cell r="P860" t="str">
            <v>W</v>
          </cell>
          <cell r="Q860" t="str">
            <v>R</v>
          </cell>
          <cell r="R860" t="str">
            <v>-</v>
          </cell>
        </row>
        <row r="861">
          <cell r="A861">
            <v>1557745</v>
          </cell>
          <cell r="B861" t="str">
            <v>-</v>
          </cell>
          <cell r="C861">
            <v>6292</v>
          </cell>
          <cell r="D861" t="str">
            <v>225/50 R17</v>
          </cell>
          <cell r="E861">
            <v>98</v>
          </cell>
          <cell r="F861" t="str">
            <v>V</v>
          </cell>
          <cell r="G861" t="str">
            <v>ALTIMAX RT 45 XL</v>
          </cell>
          <cell r="H861">
            <v>1557745</v>
          </cell>
          <cell r="I861">
            <v>52598</v>
          </cell>
          <cell r="J861">
            <v>0</v>
          </cell>
          <cell r="K861" t="str">
            <v>P0</v>
          </cell>
          <cell r="L861" t="str">
            <v>OWGY</v>
          </cell>
          <cell r="M861" t="str">
            <v>O</v>
          </cell>
          <cell r="N861" t="str">
            <v>W</v>
          </cell>
          <cell r="O861" t="str">
            <v>G</v>
          </cell>
          <cell r="P861" t="str">
            <v>Y</v>
          </cell>
          <cell r="Q861" t="str">
            <v/>
          </cell>
          <cell r="R861" t="str">
            <v>-</v>
          </cell>
        </row>
        <row r="862">
          <cell r="A862">
            <v>1557746</v>
          </cell>
          <cell r="B862" t="str">
            <v>-</v>
          </cell>
          <cell r="C862">
            <v>5094</v>
          </cell>
          <cell r="D862" t="str">
            <v>225/55 R16</v>
          </cell>
          <cell r="E862">
            <v>95</v>
          </cell>
          <cell r="F862" t="str">
            <v>H</v>
          </cell>
          <cell r="G862" t="str">
            <v>ALTIMAX RT 45</v>
          </cell>
          <cell r="H862">
            <v>1557746</v>
          </cell>
          <cell r="I862">
            <v>52095</v>
          </cell>
          <cell r="J862">
            <v>0</v>
          </cell>
          <cell r="K862" t="str">
            <v>P0</v>
          </cell>
          <cell r="L862" t="str">
            <v>AAWW</v>
          </cell>
          <cell r="M862" t="str">
            <v>A</v>
          </cell>
          <cell r="N862" t="str">
            <v>A</v>
          </cell>
          <cell r="O862" t="str">
            <v>W</v>
          </cell>
          <cell r="P862" t="str">
            <v>W</v>
          </cell>
          <cell r="Q862" t="str">
            <v/>
          </cell>
          <cell r="R862" t="str">
            <v>-</v>
          </cell>
        </row>
        <row r="863">
          <cell r="A863">
            <v>1557750</v>
          </cell>
          <cell r="B863" t="str">
            <v>-</v>
          </cell>
          <cell r="C863">
            <v>3071</v>
          </cell>
          <cell r="D863" t="str">
            <v>235/45 R18</v>
          </cell>
          <cell r="E863">
            <v>98</v>
          </cell>
          <cell r="F863" t="str">
            <v>V</v>
          </cell>
          <cell r="G863" t="str">
            <v>ALTIMAX RT43 XL</v>
          </cell>
          <cell r="H863">
            <v>1557750</v>
          </cell>
          <cell r="I863">
            <v>52686</v>
          </cell>
          <cell r="J863">
            <v>0</v>
          </cell>
          <cell r="K863" t="str">
            <v>P0</v>
          </cell>
          <cell r="L863" t="str">
            <v>AAARR</v>
          </cell>
          <cell r="M863" t="str">
            <v>A</v>
          </cell>
          <cell r="N863" t="str">
            <v>A</v>
          </cell>
          <cell r="O863" t="str">
            <v>A</v>
          </cell>
          <cell r="P863" t="str">
            <v>R</v>
          </cell>
          <cell r="Q863" t="str">
            <v>R</v>
          </cell>
          <cell r="R863" t="str">
            <v>-</v>
          </cell>
        </row>
        <row r="864">
          <cell r="A864">
            <v>1557752</v>
          </cell>
          <cell r="B864" t="str">
            <v>-</v>
          </cell>
          <cell r="C864">
            <v>5054</v>
          </cell>
          <cell r="D864" t="str">
            <v>235/50 R18</v>
          </cell>
          <cell r="E864">
            <v>97</v>
          </cell>
          <cell r="F864" t="str">
            <v>V</v>
          </cell>
          <cell r="G864" t="str">
            <v>ALTIMAX RT45</v>
          </cell>
          <cell r="H864">
            <v>1557752</v>
          </cell>
          <cell r="I864">
            <v>52904</v>
          </cell>
          <cell r="J864">
            <v>0</v>
          </cell>
          <cell r="K864" t="str">
            <v>P3</v>
          </cell>
          <cell r="L864" t="str">
            <v>AWR</v>
          </cell>
          <cell r="M864" t="str">
            <v>A</v>
          </cell>
          <cell r="N864" t="str">
            <v>W</v>
          </cell>
          <cell r="O864" t="str">
            <v>R</v>
          </cell>
          <cell r="P864" t="str">
            <v/>
          </cell>
          <cell r="Q864" t="str">
            <v/>
          </cell>
          <cell r="R864" t="str">
            <v>-</v>
          </cell>
        </row>
        <row r="865">
          <cell r="A865">
            <v>1557753</v>
          </cell>
          <cell r="B865" t="str">
            <v>-</v>
          </cell>
          <cell r="C865">
            <v>6183</v>
          </cell>
          <cell r="D865" t="str">
            <v>235/55 R18</v>
          </cell>
          <cell r="E865">
            <v>104</v>
          </cell>
          <cell r="F865" t="str">
            <v>V</v>
          </cell>
          <cell r="G865" t="str">
            <v>ALTIMAX RT43 XL</v>
          </cell>
          <cell r="H865">
            <v>1557753</v>
          </cell>
          <cell r="I865">
            <v>52684</v>
          </cell>
          <cell r="J865">
            <v>0</v>
          </cell>
          <cell r="K865" t="str">
            <v>P0</v>
          </cell>
          <cell r="L865" t="str">
            <v>AAYYW</v>
          </cell>
          <cell r="M865" t="str">
            <v>A</v>
          </cell>
          <cell r="N865" t="str">
            <v>A</v>
          </cell>
          <cell r="O865" t="str">
            <v>Y</v>
          </cell>
          <cell r="P865" t="str">
            <v>Y</v>
          </cell>
          <cell r="Q865" t="str">
            <v>W</v>
          </cell>
          <cell r="R865" t="str">
            <v>-</v>
          </cell>
        </row>
        <row r="866">
          <cell r="A866">
            <v>1557765</v>
          </cell>
          <cell r="B866" t="str">
            <v>-</v>
          </cell>
          <cell r="C866">
            <v>5199</v>
          </cell>
          <cell r="D866" t="str">
            <v>195/50 R16</v>
          </cell>
          <cell r="E866">
            <v>84</v>
          </cell>
          <cell r="F866" t="str">
            <v>V</v>
          </cell>
          <cell r="G866" t="str">
            <v>ALTIMAX RT45</v>
          </cell>
          <cell r="H866">
            <v>1557765</v>
          </cell>
          <cell r="I866">
            <v>52609</v>
          </cell>
          <cell r="J866">
            <v>0</v>
          </cell>
          <cell r="K866" t="str">
            <v>P0</v>
          </cell>
          <cell r="L866" t="str">
            <v>ROAYY</v>
          </cell>
          <cell r="M866" t="str">
            <v>R</v>
          </cell>
          <cell r="N866" t="str">
            <v>O</v>
          </cell>
          <cell r="O866" t="str">
            <v>A</v>
          </cell>
          <cell r="P866" t="str">
            <v>Y</v>
          </cell>
          <cell r="Q866" t="str">
            <v>Y</v>
          </cell>
          <cell r="R866" t="str">
            <v>-</v>
          </cell>
        </row>
        <row r="867">
          <cell r="A867">
            <v>1557766</v>
          </cell>
          <cell r="B867" t="str">
            <v>-</v>
          </cell>
          <cell r="C867">
            <v>12</v>
          </cell>
          <cell r="D867" t="str">
            <v>205/50 R17</v>
          </cell>
          <cell r="E867">
            <v>93</v>
          </cell>
          <cell r="F867" t="str">
            <v>H</v>
          </cell>
          <cell r="G867" t="str">
            <v>ALTIMAX RT45 XL</v>
          </cell>
          <cell r="H867">
            <v>1557766</v>
          </cell>
          <cell r="I867">
            <v>52564</v>
          </cell>
          <cell r="J867">
            <v>0</v>
          </cell>
          <cell r="K867" t="str">
            <v>P4</v>
          </cell>
          <cell r="L867" t="str">
            <v>YYWOA</v>
          </cell>
          <cell r="M867" t="str">
            <v>Y</v>
          </cell>
          <cell r="N867" t="str">
            <v>Y</v>
          </cell>
          <cell r="O867" t="str">
            <v>W</v>
          </cell>
          <cell r="P867" t="str">
            <v>O</v>
          </cell>
          <cell r="Q867" t="str">
            <v>A</v>
          </cell>
          <cell r="R867" t="str">
            <v>-</v>
          </cell>
        </row>
        <row r="868">
          <cell r="A868">
            <v>1557767</v>
          </cell>
          <cell r="B868" t="str">
            <v>-</v>
          </cell>
          <cell r="C868">
            <v>3170</v>
          </cell>
          <cell r="D868" t="str">
            <v>215/50 R17</v>
          </cell>
          <cell r="E868">
            <v>95</v>
          </cell>
          <cell r="F868" t="str">
            <v>H</v>
          </cell>
          <cell r="G868" t="str">
            <v>ALTIMAX RT 45 XL</v>
          </cell>
          <cell r="H868">
            <v>1557767</v>
          </cell>
          <cell r="I868">
            <v>52447</v>
          </cell>
          <cell r="J868">
            <v>0</v>
          </cell>
          <cell r="K868" t="str">
            <v>P3</v>
          </cell>
          <cell r="L868" t="str">
            <v>YYYYA</v>
          </cell>
          <cell r="M868" t="str">
            <v>Y</v>
          </cell>
          <cell r="N868" t="str">
            <v>Y</v>
          </cell>
          <cell r="O868" t="str">
            <v>Y</v>
          </cell>
          <cell r="P868" t="str">
            <v>Y</v>
          </cell>
          <cell r="Q868" t="str">
            <v>A</v>
          </cell>
          <cell r="R868" t="str">
            <v>-</v>
          </cell>
        </row>
        <row r="869">
          <cell r="A869">
            <v>1557768</v>
          </cell>
          <cell r="B869" t="str">
            <v>-</v>
          </cell>
          <cell r="C869">
            <v>5010</v>
          </cell>
          <cell r="D869" t="str">
            <v>215/55 R17</v>
          </cell>
          <cell r="E869">
            <v>94</v>
          </cell>
          <cell r="F869" t="str">
            <v>H</v>
          </cell>
          <cell r="G869" t="str">
            <v>ALTIMAX RT45</v>
          </cell>
          <cell r="H869">
            <v>1557768</v>
          </cell>
          <cell r="I869">
            <v>52014</v>
          </cell>
          <cell r="J869">
            <v>0</v>
          </cell>
          <cell r="K869" t="str">
            <v>P0</v>
          </cell>
          <cell r="L869" t="str">
            <v>GGRRW</v>
          </cell>
          <cell r="M869" t="str">
            <v>G</v>
          </cell>
          <cell r="N869" t="str">
            <v>G</v>
          </cell>
          <cell r="O869" t="str">
            <v>R</v>
          </cell>
          <cell r="P869" t="str">
            <v>R</v>
          </cell>
          <cell r="Q869" t="str">
            <v>W</v>
          </cell>
          <cell r="R869" t="str">
            <v>-</v>
          </cell>
        </row>
        <row r="870">
          <cell r="A870">
            <v>1557769</v>
          </cell>
          <cell r="B870" t="str">
            <v>-</v>
          </cell>
          <cell r="C870">
            <v>5310</v>
          </cell>
          <cell r="D870" t="str">
            <v>215/55 R18</v>
          </cell>
          <cell r="E870">
            <v>95</v>
          </cell>
          <cell r="F870" t="str">
            <v>H</v>
          </cell>
          <cell r="G870" t="str">
            <v>ALTIMAX RT45</v>
          </cell>
          <cell r="H870">
            <v>1557769</v>
          </cell>
          <cell r="I870">
            <v>52905</v>
          </cell>
          <cell r="J870">
            <v>0</v>
          </cell>
          <cell r="K870" t="str">
            <v>P0</v>
          </cell>
          <cell r="L870" t="str">
            <v>AAGOW</v>
          </cell>
          <cell r="M870" t="str">
            <v>A</v>
          </cell>
          <cell r="N870" t="str">
            <v>A</v>
          </cell>
          <cell r="O870" t="str">
            <v>G</v>
          </cell>
          <cell r="P870" t="str">
            <v>O</v>
          </cell>
          <cell r="Q870" t="str">
            <v>W</v>
          </cell>
          <cell r="R870" t="str">
            <v>-</v>
          </cell>
        </row>
        <row r="871">
          <cell r="A871">
            <v>1557772</v>
          </cell>
          <cell r="B871" t="str">
            <v>-</v>
          </cell>
          <cell r="C871">
            <v>6192</v>
          </cell>
          <cell r="D871" t="str">
            <v>225/50 R17</v>
          </cell>
          <cell r="E871">
            <v>98</v>
          </cell>
          <cell r="F871" t="str">
            <v>H</v>
          </cell>
          <cell r="G871" t="str">
            <v>ALTIMAX RT 45 XL</v>
          </cell>
          <cell r="H871">
            <v>1557772</v>
          </cell>
          <cell r="I871">
            <v>52594</v>
          </cell>
          <cell r="J871">
            <v>0</v>
          </cell>
          <cell r="K871" t="str">
            <v>P0</v>
          </cell>
          <cell r="L871" t="str">
            <v>ROWG</v>
          </cell>
          <cell r="M871" t="str">
            <v>R</v>
          </cell>
          <cell r="N871" t="str">
            <v>O</v>
          </cell>
          <cell r="O871" t="str">
            <v>W</v>
          </cell>
          <cell r="P871" t="str">
            <v>G</v>
          </cell>
          <cell r="Q871" t="str">
            <v/>
          </cell>
          <cell r="R871" t="str">
            <v>-</v>
          </cell>
        </row>
        <row r="872">
          <cell r="A872">
            <v>1557774</v>
          </cell>
          <cell r="B872" t="str">
            <v>-</v>
          </cell>
          <cell r="C872">
            <v>2095</v>
          </cell>
          <cell r="D872" t="str">
            <v>235/50 R17</v>
          </cell>
          <cell r="E872">
            <v>96</v>
          </cell>
          <cell r="F872" t="str">
            <v>H</v>
          </cell>
          <cell r="G872" t="str">
            <v>ALTIMAX RT43</v>
          </cell>
          <cell r="H872">
            <v>1557774</v>
          </cell>
          <cell r="I872">
            <v>52636</v>
          </cell>
          <cell r="J872">
            <v>0</v>
          </cell>
          <cell r="K872" t="str">
            <v>P4</v>
          </cell>
          <cell r="L872" t="str">
            <v>RGYYY</v>
          </cell>
          <cell r="M872" t="str">
            <v>R</v>
          </cell>
          <cell r="N872" t="str">
            <v>G</v>
          </cell>
          <cell r="O872" t="str">
            <v>Y</v>
          </cell>
          <cell r="P872" t="str">
            <v>Y</v>
          </cell>
          <cell r="Q872" t="str">
            <v>Y</v>
          </cell>
          <cell r="R872" t="str">
            <v>-</v>
          </cell>
        </row>
        <row r="873">
          <cell r="A873">
            <v>1557775</v>
          </cell>
          <cell r="B873" t="str">
            <v>-</v>
          </cell>
          <cell r="C873">
            <v>4041</v>
          </cell>
          <cell r="D873" t="str">
            <v>235/55 R18</v>
          </cell>
          <cell r="E873">
            <v>100</v>
          </cell>
          <cell r="F873" t="str">
            <v>T</v>
          </cell>
          <cell r="G873" t="str">
            <v>ALTIMAX RT43</v>
          </cell>
          <cell r="H873">
            <v>1557775</v>
          </cell>
          <cell r="I873">
            <v>52664</v>
          </cell>
          <cell r="J873">
            <v>0</v>
          </cell>
          <cell r="K873" t="str">
            <v>P0</v>
          </cell>
          <cell r="L873" t="str">
            <v>AAAR</v>
          </cell>
          <cell r="M873" t="str">
            <v>A</v>
          </cell>
          <cell r="N873" t="str">
            <v>A</v>
          </cell>
          <cell r="O873" t="str">
            <v>A</v>
          </cell>
          <cell r="P873" t="str">
            <v>R</v>
          </cell>
          <cell r="Q873" t="str">
            <v/>
          </cell>
          <cell r="R873" t="str">
            <v>-</v>
          </cell>
        </row>
        <row r="874">
          <cell r="A874">
            <v>1557780</v>
          </cell>
          <cell r="B874">
            <v>324</v>
          </cell>
          <cell r="C874">
            <v>3016</v>
          </cell>
          <cell r="D874" t="str">
            <v>245/50 R18</v>
          </cell>
          <cell r="E874">
            <v>100</v>
          </cell>
          <cell r="F874" t="str">
            <v>V</v>
          </cell>
          <cell r="G874" t="str">
            <v>ALTIMAX RT RT45</v>
          </cell>
          <cell r="H874">
            <v>1557780</v>
          </cell>
          <cell r="I874">
            <v>52524</v>
          </cell>
          <cell r="J874">
            <v>0</v>
          </cell>
          <cell r="K874" t="str">
            <v>P4</v>
          </cell>
          <cell r="L874" t="str">
            <v>GOY</v>
          </cell>
          <cell r="M874" t="str">
            <v>G</v>
          </cell>
          <cell r="N874" t="str">
            <v>O</v>
          </cell>
          <cell r="O874" t="str">
            <v>Y</v>
          </cell>
          <cell r="P874" t="str">
            <v/>
          </cell>
          <cell r="Q874" t="str">
            <v/>
          </cell>
          <cell r="R874" t="str">
            <v>-</v>
          </cell>
        </row>
        <row r="875">
          <cell r="A875">
            <v>1557794</v>
          </cell>
          <cell r="B875" t="str">
            <v>-</v>
          </cell>
          <cell r="C875">
            <v>5045</v>
          </cell>
          <cell r="D875" t="str">
            <v>235/45 R18</v>
          </cell>
          <cell r="E875">
            <v>94</v>
          </cell>
          <cell r="F875" t="str">
            <v>V</v>
          </cell>
          <cell r="G875" t="str">
            <v>CONTROLCONTACT</v>
          </cell>
          <cell r="H875">
            <v>1557794</v>
          </cell>
          <cell r="I875">
            <v>52140</v>
          </cell>
          <cell r="J875">
            <v>0</v>
          </cell>
          <cell r="K875" t="str">
            <v>P4</v>
          </cell>
          <cell r="L875" t="str">
            <v>ARA</v>
          </cell>
          <cell r="M875" t="str">
            <v>A</v>
          </cell>
          <cell r="N875" t="str">
            <v>R</v>
          </cell>
          <cell r="O875" t="str">
            <v>A</v>
          </cell>
          <cell r="P875" t="str">
            <v/>
          </cell>
          <cell r="Q875" t="str">
            <v/>
          </cell>
          <cell r="R875" t="str">
            <v>-</v>
          </cell>
        </row>
        <row r="876">
          <cell r="A876">
            <v>1557798</v>
          </cell>
          <cell r="B876" t="str">
            <v>-</v>
          </cell>
          <cell r="C876">
            <v>3010</v>
          </cell>
          <cell r="D876" t="str">
            <v>235/60 R18</v>
          </cell>
          <cell r="E876">
            <v>103</v>
          </cell>
          <cell r="F876" t="str">
            <v>H</v>
          </cell>
          <cell r="G876" t="str">
            <v>CONTROLCONTACT TOURM</v>
          </cell>
          <cell r="H876">
            <v>1557798</v>
          </cell>
          <cell r="I876">
            <v>52814</v>
          </cell>
          <cell r="J876">
            <v>0</v>
          </cell>
          <cell r="K876" t="str">
            <v>P5</v>
          </cell>
          <cell r="L876" t="str">
            <v>AWWOO</v>
          </cell>
          <cell r="M876" t="str">
            <v>A</v>
          </cell>
          <cell r="N876" t="str">
            <v>W</v>
          </cell>
          <cell r="O876" t="str">
            <v>W</v>
          </cell>
          <cell r="P876" t="str">
            <v>O</v>
          </cell>
          <cell r="Q876" t="str">
            <v>O</v>
          </cell>
          <cell r="R876" t="str">
            <v>-</v>
          </cell>
        </row>
        <row r="877">
          <cell r="A877">
            <v>1557940</v>
          </cell>
          <cell r="B877" t="str">
            <v>-</v>
          </cell>
          <cell r="C877">
            <v>80</v>
          </cell>
          <cell r="D877" t="str">
            <v>215/55 R17</v>
          </cell>
          <cell r="E877">
            <v>94</v>
          </cell>
          <cell r="F877" t="str">
            <v>H</v>
          </cell>
          <cell r="G877" t="str">
            <v>TRUE CONTACT TOUR 54</v>
          </cell>
          <cell r="H877">
            <v>1557940</v>
          </cell>
          <cell r="I877">
            <v>52616</v>
          </cell>
          <cell r="J877">
            <v>0</v>
          </cell>
          <cell r="K877" t="str">
            <v>P0</v>
          </cell>
          <cell r="L877" t="str">
            <v>OOOWW</v>
          </cell>
          <cell r="M877" t="str">
            <v>O</v>
          </cell>
          <cell r="N877" t="str">
            <v>O</v>
          </cell>
          <cell r="O877" t="str">
            <v>O</v>
          </cell>
          <cell r="P877" t="str">
            <v>W</v>
          </cell>
          <cell r="Q877" t="str">
            <v>W</v>
          </cell>
          <cell r="R877" t="str">
            <v>-</v>
          </cell>
        </row>
        <row r="878">
          <cell r="A878">
            <v>1557949</v>
          </cell>
          <cell r="B878" t="str">
            <v>-</v>
          </cell>
          <cell r="C878">
            <v>6262</v>
          </cell>
          <cell r="D878" t="str">
            <v>225/45 R17</v>
          </cell>
          <cell r="E878">
            <v>91</v>
          </cell>
          <cell r="F878" t="str">
            <v>H</v>
          </cell>
          <cell r="G878" t="str">
            <v>TRUE CONTACT TOUR 54</v>
          </cell>
          <cell r="H878">
            <v>1557949</v>
          </cell>
          <cell r="I878">
            <v>52091</v>
          </cell>
          <cell r="J878">
            <v>0</v>
          </cell>
          <cell r="K878" t="str">
            <v>P3</v>
          </cell>
          <cell r="L878" t="str">
            <v>GGYWO</v>
          </cell>
          <cell r="M878" t="str">
            <v>G</v>
          </cell>
          <cell r="N878" t="str">
            <v>G</v>
          </cell>
          <cell r="O878" t="str">
            <v>Y</v>
          </cell>
          <cell r="P878" t="str">
            <v>W</v>
          </cell>
          <cell r="Q878" t="str">
            <v>O</v>
          </cell>
          <cell r="R878" t="str">
            <v>-</v>
          </cell>
        </row>
        <row r="879">
          <cell r="A879">
            <v>1557958</v>
          </cell>
          <cell r="B879" t="str">
            <v>-</v>
          </cell>
          <cell r="C879">
            <v>43</v>
          </cell>
          <cell r="D879" t="str">
            <v>205/40 R17</v>
          </cell>
          <cell r="E879">
            <v>84</v>
          </cell>
          <cell r="F879" t="str">
            <v>W</v>
          </cell>
          <cell r="G879" t="str">
            <v>G-MAX AS-07 XL</v>
          </cell>
          <cell r="H879">
            <v>1557958</v>
          </cell>
          <cell r="I879">
            <v>52306</v>
          </cell>
          <cell r="J879">
            <v>0</v>
          </cell>
          <cell r="K879" t="str">
            <v>P7</v>
          </cell>
          <cell r="L879" t="str">
            <v>WYO</v>
          </cell>
          <cell r="M879" t="str">
            <v>W</v>
          </cell>
          <cell r="N879" t="str">
            <v>Y</v>
          </cell>
          <cell r="O879" t="str">
            <v>O</v>
          </cell>
          <cell r="P879" t="str">
            <v/>
          </cell>
          <cell r="Q879" t="str">
            <v/>
          </cell>
          <cell r="R879" t="str">
            <v>-</v>
          </cell>
        </row>
        <row r="880">
          <cell r="A880">
            <v>1557959</v>
          </cell>
          <cell r="B880" t="str">
            <v>-</v>
          </cell>
          <cell r="C880">
            <v>58044</v>
          </cell>
          <cell r="D880" t="str">
            <v>205/45 R17</v>
          </cell>
          <cell r="E880">
            <v>88</v>
          </cell>
          <cell r="F880" t="str">
            <v>W</v>
          </cell>
          <cell r="G880" t="str">
            <v>G-MAX AS-07 XL</v>
          </cell>
          <cell r="H880">
            <v>1557959</v>
          </cell>
          <cell r="I880">
            <v>52132</v>
          </cell>
          <cell r="J880">
            <v>0</v>
          </cell>
          <cell r="K880" t="str">
            <v>P7</v>
          </cell>
          <cell r="L880" t="str">
            <v>AAAOY</v>
          </cell>
          <cell r="M880" t="str">
            <v>A</v>
          </cell>
          <cell r="N880" t="str">
            <v>A</v>
          </cell>
          <cell r="O880" t="str">
            <v>A</v>
          </cell>
          <cell r="P880" t="str">
            <v>O</v>
          </cell>
          <cell r="Q880" t="str">
            <v>Y</v>
          </cell>
          <cell r="R880" t="str">
            <v>-</v>
          </cell>
        </row>
        <row r="881">
          <cell r="A881">
            <v>1557960</v>
          </cell>
          <cell r="B881">
            <v>10</v>
          </cell>
          <cell r="C881">
            <v>84</v>
          </cell>
          <cell r="D881" t="str">
            <v>205/50 R17</v>
          </cell>
          <cell r="E881">
            <v>93</v>
          </cell>
          <cell r="F881" t="str">
            <v>W</v>
          </cell>
          <cell r="G881" t="str">
            <v>G-MAX AS-07 XL</v>
          </cell>
          <cell r="H881">
            <v>1557960</v>
          </cell>
          <cell r="I881">
            <v>52110</v>
          </cell>
          <cell r="J881">
            <v>0</v>
          </cell>
          <cell r="K881" t="str">
            <v>P4</v>
          </cell>
          <cell r="L881" t="str">
            <v>GGY</v>
          </cell>
          <cell r="M881" t="str">
            <v>G</v>
          </cell>
          <cell r="N881" t="str">
            <v>G</v>
          </cell>
          <cell r="O881" t="str">
            <v>Y</v>
          </cell>
          <cell r="P881" t="str">
            <v/>
          </cell>
          <cell r="Q881" t="str">
            <v/>
          </cell>
          <cell r="R881" t="str">
            <v>-</v>
          </cell>
        </row>
        <row r="882">
          <cell r="A882">
            <v>1557962</v>
          </cell>
          <cell r="B882">
            <v>340</v>
          </cell>
          <cell r="C882">
            <v>81</v>
          </cell>
          <cell r="D882" t="str">
            <v>215/50 R17</v>
          </cell>
          <cell r="E882">
            <v>95</v>
          </cell>
          <cell r="F882" t="str">
            <v>W</v>
          </cell>
          <cell r="G882" t="str">
            <v>G-MAX AS-07 XL</v>
          </cell>
          <cell r="H882">
            <v>1557962</v>
          </cell>
          <cell r="I882">
            <v>52380</v>
          </cell>
          <cell r="J882">
            <v>0</v>
          </cell>
          <cell r="K882" t="str">
            <v>P4</v>
          </cell>
          <cell r="L882" t="str">
            <v>WGGYO</v>
          </cell>
          <cell r="M882" t="str">
            <v>W</v>
          </cell>
          <cell r="N882" t="str">
            <v>G</v>
          </cell>
          <cell r="O882" t="str">
            <v>G</v>
          </cell>
          <cell r="P882" t="str">
            <v>Y</v>
          </cell>
          <cell r="Q882" t="str">
            <v>O</v>
          </cell>
          <cell r="R882" t="str">
            <v>-</v>
          </cell>
        </row>
        <row r="883">
          <cell r="A883">
            <v>1557967</v>
          </cell>
          <cell r="B883">
            <v>674</v>
          </cell>
          <cell r="C883">
            <v>6034</v>
          </cell>
          <cell r="D883" t="str">
            <v>235/45 R17</v>
          </cell>
          <cell r="E883">
            <v>94</v>
          </cell>
          <cell r="F883" t="str">
            <v>W</v>
          </cell>
          <cell r="G883" t="str">
            <v>G-MAX AS-07</v>
          </cell>
          <cell r="H883">
            <v>1557967</v>
          </cell>
          <cell r="I883">
            <v>52275</v>
          </cell>
          <cell r="J883">
            <v>0</v>
          </cell>
          <cell r="K883" t="str">
            <v>P7</v>
          </cell>
          <cell r="L883" t="str">
            <v>RWAAA</v>
          </cell>
          <cell r="M883" t="str">
            <v>R</v>
          </cell>
          <cell r="N883" t="str">
            <v>W</v>
          </cell>
          <cell r="O883" t="str">
            <v>A</v>
          </cell>
          <cell r="P883" t="str">
            <v>A</v>
          </cell>
          <cell r="Q883" t="str">
            <v>A</v>
          </cell>
          <cell r="R883" t="str">
            <v>-</v>
          </cell>
        </row>
        <row r="884">
          <cell r="A884">
            <v>1557970</v>
          </cell>
          <cell r="B884">
            <v>797</v>
          </cell>
          <cell r="C884">
            <v>58035</v>
          </cell>
          <cell r="D884" t="str">
            <v>245/40 R17</v>
          </cell>
          <cell r="E884">
            <v>91</v>
          </cell>
          <cell r="F884" t="str">
            <v>W</v>
          </cell>
          <cell r="G884" t="str">
            <v>G-MAX AS-07</v>
          </cell>
          <cell r="H884">
            <v>1557970</v>
          </cell>
          <cell r="I884">
            <v>52201</v>
          </cell>
          <cell r="J884">
            <v>0</v>
          </cell>
          <cell r="K884" t="str">
            <v>P7</v>
          </cell>
          <cell r="L884" t="str">
            <v>YGY</v>
          </cell>
          <cell r="M884" t="str">
            <v>Y</v>
          </cell>
          <cell r="N884" t="str">
            <v>G</v>
          </cell>
          <cell r="O884" t="str">
            <v>Y</v>
          </cell>
          <cell r="P884" t="str">
            <v/>
          </cell>
          <cell r="Q884" t="str">
            <v/>
          </cell>
          <cell r="R884" t="str">
            <v>-</v>
          </cell>
        </row>
        <row r="885">
          <cell r="A885">
            <v>1557976</v>
          </cell>
          <cell r="B885">
            <v>921</v>
          </cell>
          <cell r="C885">
            <v>58015</v>
          </cell>
          <cell r="D885" t="str">
            <v>215/45 R18</v>
          </cell>
          <cell r="E885">
            <v>93</v>
          </cell>
          <cell r="F885" t="str">
            <v>W</v>
          </cell>
          <cell r="G885" t="str">
            <v>G-MAX AS-07 XL</v>
          </cell>
          <cell r="H885">
            <v>1557976</v>
          </cell>
          <cell r="I885">
            <v>52419</v>
          </cell>
          <cell r="J885">
            <v>0</v>
          </cell>
          <cell r="K885" t="str">
            <v>P7</v>
          </cell>
          <cell r="L885" t="str">
            <v>RGWYW</v>
          </cell>
          <cell r="M885" t="str">
            <v>R</v>
          </cell>
          <cell r="N885" t="str">
            <v>G</v>
          </cell>
          <cell r="O885" t="str">
            <v>W</v>
          </cell>
          <cell r="P885" t="str">
            <v>Y</v>
          </cell>
          <cell r="Q885" t="str">
            <v>W</v>
          </cell>
          <cell r="R885" t="str">
            <v>-</v>
          </cell>
        </row>
        <row r="886">
          <cell r="A886">
            <v>1557986</v>
          </cell>
          <cell r="B886">
            <v>62</v>
          </cell>
          <cell r="C886">
            <v>4097</v>
          </cell>
          <cell r="D886" t="str">
            <v>245/50 R18</v>
          </cell>
          <cell r="E886">
            <v>100</v>
          </cell>
          <cell r="F886" t="str">
            <v>W</v>
          </cell>
          <cell r="G886" t="str">
            <v>G-MAX AS-07</v>
          </cell>
          <cell r="H886">
            <v>1557986</v>
          </cell>
          <cell r="I886">
            <v>52251</v>
          </cell>
          <cell r="J886">
            <v>0</v>
          </cell>
          <cell r="K886" t="str">
            <v>P7</v>
          </cell>
          <cell r="L886" t="str">
            <v>RYG</v>
          </cell>
          <cell r="M886" t="str">
            <v>R</v>
          </cell>
          <cell r="N886" t="str">
            <v>Y</v>
          </cell>
          <cell r="O886" t="str">
            <v>G</v>
          </cell>
          <cell r="P886" t="str">
            <v/>
          </cell>
          <cell r="Q886" t="str">
            <v/>
          </cell>
          <cell r="R886" t="str">
            <v>-</v>
          </cell>
        </row>
        <row r="887">
          <cell r="A887">
            <v>1557989</v>
          </cell>
          <cell r="B887">
            <v>7</v>
          </cell>
          <cell r="C887">
            <v>5070</v>
          </cell>
          <cell r="D887" t="str">
            <v>255/40 R18</v>
          </cell>
          <cell r="E887">
            <v>99</v>
          </cell>
          <cell r="F887" t="str">
            <v>W</v>
          </cell>
          <cell r="G887" t="str">
            <v>G-MAX AS-07 XL</v>
          </cell>
          <cell r="H887">
            <v>1557989</v>
          </cell>
          <cell r="I887">
            <v>52677</v>
          </cell>
          <cell r="J887">
            <v>0</v>
          </cell>
          <cell r="K887" t="str">
            <v>P7</v>
          </cell>
          <cell r="L887" t="str">
            <v>YYORA</v>
          </cell>
          <cell r="M887" t="str">
            <v>Y</v>
          </cell>
          <cell r="N887" t="str">
            <v>Y</v>
          </cell>
          <cell r="O887" t="str">
            <v>O</v>
          </cell>
          <cell r="P887" t="str">
            <v>R</v>
          </cell>
          <cell r="Q887" t="str">
            <v>A</v>
          </cell>
          <cell r="R887" t="str">
            <v>-</v>
          </cell>
        </row>
        <row r="888">
          <cell r="A888">
            <v>1557994</v>
          </cell>
          <cell r="B888">
            <v>318</v>
          </cell>
          <cell r="C888">
            <v>4064</v>
          </cell>
          <cell r="D888" t="str">
            <v>225/45 R19</v>
          </cell>
          <cell r="E888">
            <v>92</v>
          </cell>
          <cell r="F888" t="str">
            <v>W</v>
          </cell>
          <cell r="G888" t="str">
            <v>G-MAX AS-07</v>
          </cell>
          <cell r="H888">
            <v>1557994</v>
          </cell>
          <cell r="I888">
            <v>52418</v>
          </cell>
          <cell r="J888">
            <v>0</v>
          </cell>
          <cell r="K888" t="str">
            <v>P7</v>
          </cell>
          <cell r="L888" t="str">
            <v>AOGYA</v>
          </cell>
          <cell r="M888" t="str">
            <v>A</v>
          </cell>
          <cell r="N888" t="str">
            <v>O</v>
          </cell>
          <cell r="O888" t="str">
            <v>G</v>
          </cell>
          <cell r="P888" t="str">
            <v>Y</v>
          </cell>
          <cell r="Q888" t="str">
            <v>A</v>
          </cell>
          <cell r="R888" t="str">
            <v>-</v>
          </cell>
        </row>
        <row r="889">
          <cell r="A889">
            <v>1558000</v>
          </cell>
          <cell r="B889" t="str">
            <v>-</v>
          </cell>
          <cell r="C889">
            <v>6062</v>
          </cell>
          <cell r="D889" t="str">
            <v>225/45 R17</v>
          </cell>
          <cell r="E889">
            <v>91</v>
          </cell>
          <cell r="F889" t="str">
            <v>V</v>
          </cell>
          <cell r="G889" t="str">
            <v>TRUE CONTACT TOUR 54</v>
          </cell>
          <cell r="H889">
            <v>1558000</v>
          </cell>
          <cell r="I889">
            <v>52087</v>
          </cell>
          <cell r="J889">
            <v>0</v>
          </cell>
          <cell r="K889" t="str">
            <v>P3</v>
          </cell>
          <cell r="L889" t="str">
            <v>AAWGY</v>
          </cell>
          <cell r="M889" t="str">
            <v>A</v>
          </cell>
          <cell r="N889" t="str">
            <v>A</v>
          </cell>
          <cell r="O889" t="str">
            <v>W</v>
          </cell>
          <cell r="P889" t="str">
            <v>G</v>
          </cell>
          <cell r="Q889" t="str">
            <v>Y</v>
          </cell>
          <cell r="R889" t="str">
            <v>-</v>
          </cell>
        </row>
        <row r="890">
          <cell r="A890">
            <v>1558009</v>
          </cell>
          <cell r="B890" t="str">
            <v>-</v>
          </cell>
          <cell r="C890">
            <v>5045</v>
          </cell>
          <cell r="D890" t="str">
            <v>235/45 R18</v>
          </cell>
          <cell r="E890">
            <v>94</v>
          </cell>
          <cell r="F890" t="str">
            <v>V</v>
          </cell>
          <cell r="G890" t="str">
            <v>TRUE CONTACT</v>
          </cell>
          <cell r="H890">
            <v>1558009</v>
          </cell>
          <cell r="I890">
            <v>52140</v>
          </cell>
          <cell r="J890">
            <v>0</v>
          </cell>
          <cell r="K890" t="str">
            <v>P4</v>
          </cell>
          <cell r="L890" t="str">
            <v>ARA</v>
          </cell>
          <cell r="M890" t="str">
            <v>A</v>
          </cell>
          <cell r="N890" t="str">
            <v>R</v>
          </cell>
          <cell r="O890" t="str">
            <v>A</v>
          </cell>
          <cell r="P890" t="str">
            <v/>
          </cell>
          <cell r="Q890" t="str">
            <v/>
          </cell>
          <cell r="R890" t="str">
            <v>-</v>
          </cell>
        </row>
        <row r="891">
          <cell r="A891">
            <v>1558014</v>
          </cell>
          <cell r="B891" t="str">
            <v>-</v>
          </cell>
          <cell r="C891">
            <v>3010</v>
          </cell>
          <cell r="D891" t="str">
            <v>235/60 R18</v>
          </cell>
          <cell r="E891">
            <v>103</v>
          </cell>
          <cell r="F891" t="str">
            <v>H</v>
          </cell>
          <cell r="G891" t="str">
            <v>TRUE CONTACT TOUR 54</v>
          </cell>
          <cell r="H891">
            <v>1558014</v>
          </cell>
          <cell r="I891">
            <v>52814</v>
          </cell>
          <cell r="J891">
            <v>0</v>
          </cell>
          <cell r="K891" t="str">
            <v>P5</v>
          </cell>
          <cell r="L891" t="str">
            <v>AWWOO</v>
          </cell>
          <cell r="M891" t="str">
            <v>A</v>
          </cell>
          <cell r="N891" t="str">
            <v>W</v>
          </cell>
          <cell r="O891" t="str">
            <v>W</v>
          </cell>
          <cell r="P891" t="str">
            <v>O</v>
          </cell>
          <cell r="Q891" t="str">
            <v>O</v>
          </cell>
          <cell r="R891" t="str">
            <v>-</v>
          </cell>
        </row>
        <row r="892">
          <cell r="A892">
            <v>1558094</v>
          </cell>
          <cell r="B892" t="str">
            <v>-</v>
          </cell>
          <cell r="C892">
            <v>20038</v>
          </cell>
          <cell r="D892" t="str">
            <v>185/60 R15</v>
          </cell>
          <cell r="E892">
            <v>88</v>
          </cell>
          <cell r="F892" t="str">
            <v>T</v>
          </cell>
          <cell r="G892" t="str">
            <v>ALTIMAX ARTIC XL</v>
          </cell>
          <cell r="H892">
            <v>1558094</v>
          </cell>
          <cell r="I892">
            <v>52241</v>
          </cell>
          <cell r="J892">
            <v>0</v>
          </cell>
          <cell r="K892" t="str">
            <v>P2</v>
          </cell>
          <cell r="L892" t="str">
            <v>RG</v>
          </cell>
          <cell r="M892" t="str">
            <v>R</v>
          </cell>
          <cell r="N892" t="str">
            <v>G</v>
          </cell>
          <cell r="O892" t="str">
            <v/>
          </cell>
          <cell r="P892" t="str">
            <v/>
          </cell>
          <cell r="Q892" t="str">
            <v/>
          </cell>
          <cell r="R892" t="str">
            <v>-</v>
          </cell>
        </row>
        <row r="893">
          <cell r="A893">
            <v>1558104</v>
          </cell>
          <cell r="B893" t="str">
            <v>-</v>
          </cell>
          <cell r="C893">
            <v>20010</v>
          </cell>
          <cell r="D893" t="str">
            <v>215/70 R16</v>
          </cell>
          <cell r="E893">
            <v>104</v>
          </cell>
          <cell r="F893" t="str">
            <v>T</v>
          </cell>
          <cell r="G893" t="str">
            <v>ALTIMAX ARTIC X XL</v>
          </cell>
          <cell r="H893">
            <v>1558104</v>
          </cell>
          <cell r="I893">
            <v>52079</v>
          </cell>
          <cell r="J893">
            <v>0</v>
          </cell>
          <cell r="K893" t="str">
            <v>P2</v>
          </cell>
          <cell r="L893" t="str">
            <v>RO</v>
          </cell>
          <cell r="M893" t="str">
            <v>R</v>
          </cell>
          <cell r="N893" t="str">
            <v>O</v>
          </cell>
          <cell r="O893" t="str">
            <v/>
          </cell>
          <cell r="P893" t="str">
            <v/>
          </cell>
          <cell r="Q893" t="str">
            <v/>
          </cell>
          <cell r="R893" t="str">
            <v>-</v>
          </cell>
        </row>
        <row r="894">
          <cell r="A894">
            <v>1558114</v>
          </cell>
          <cell r="B894" t="str">
            <v>-</v>
          </cell>
          <cell r="C894">
            <v>20223</v>
          </cell>
          <cell r="D894" t="str">
            <v>215/50 R17</v>
          </cell>
          <cell r="E894">
            <v>95</v>
          </cell>
          <cell r="F894" t="str">
            <v>T</v>
          </cell>
          <cell r="G894" t="str">
            <v>ALTIMAX ARTIC X XL</v>
          </cell>
          <cell r="H894">
            <v>1558114</v>
          </cell>
          <cell r="I894">
            <v>52315</v>
          </cell>
          <cell r="J894">
            <v>0</v>
          </cell>
          <cell r="K894" t="str">
            <v>P2</v>
          </cell>
          <cell r="L894" t="str">
            <v>GOR</v>
          </cell>
          <cell r="M894" t="str">
            <v>G</v>
          </cell>
          <cell r="N894" t="str">
            <v>O</v>
          </cell>
          <cell r="O894" t="str">
            <v>R</v>
          </cell>
          <cell r="P894" t="str">
            <v/>
          </cell>
          <cell r="Q894" t="str">
            <v/>
          </cell>
          <cell r="R894" t="str">
            <v>-</v>
          </cell>
        </row>
        <row r="895">
          <cell r="A895">
            <v>1558115</v>
          </cell>
          <cell r="B895" t="str">
            <v>-</v>
          </cell>
          <cell r="C895">
            <v>28003</v>
          </cell>
          <cell r="D895" t="str">
            <v>215/45 R17</v>
          </cell>
          <cell r="E895">
            <v>91</v>
          </cell>
          <cell r="F895" t="str">
            <v>T</v>
          </cell>
          <cell r="G895" t="str">
            <v>ALTIMAX ARTIC X</v>
          </cell>
          <cell r="H895">
            <v>1558115</v>
          </cell>
          <cell r="I895">
            <v>52927</v>
          </cell>
          <cell r="J895">
            <v>0</v>
          </cell>
          <cell r="K895" t="str">
            <v>P5</v>
          </cell>
          <cell r="L895" t="str">
            <v>RR</v>
          </cell>
          <cell r="M895" t="str">
            <v>R</v>
          </cell>
          <cell r="N895" t="str">
            <v>R</v>
          </cell>
          <cell r="O895" t="str">
            <v/>
          </cell>
          <cell r="P895" t="str">
            <v/>
          </cell>
          <cell r="Q895" t="str">
            <v/>
          </cell>
          <cell r="R895" t="str">
            <v>-</v>
          </cell>
        </row>
        <row r="896">
          <cell r="A896">
            <v>1558123</v>
          </cell>
          <cell r="B896" t="str">
            <v>-</v>
          </cell>
          <cell r="C896">
            <v>20214</v>
          </cell>
          <cell r="D896" t="str">
            <v>235/55 R17</v>
          </cell>
          <cell r="E896">
            <v>103</v>
          </cell>
          <cell r="F896" t="str">
            <v>T</v>
          </cell>
          <cell r="G896" t="str">
            <v>ALTIMAX ARTIC X XL</v>
          </cell>
          <cell r="H896">
            <v>1558123</v>
          </cell>
          <cell r="I896">
            <v>52359</v>
          </cell>
          <cell r="J896">
            <v>0</v>
          </cell>
          <cell r="K896" t="str">
            <v>P2</v>
          </cell>
          <cell r="L896" t="str">
            <v>RRGRG</v>
          </cell>
          <cell r="M896" t="str">
            <v>R</v>
          </cell>
          <cell r="N896" t="str">
            <v>R</v>
          </cell>
          <cell r="O896" t="str">
            <v>G</v>
          </cell>
          <cell r="P896" t="str">
            <v>R</v>
          </cell>
          <cell r="Q896" t="str">
            <v>G</v>
          </cell>
          <cell r="R896" t="str">
            <v>-</v>
          </cell>
        </row>
        <row r="897">
          <cell r="A897">
            <v>1558141</v>
          </cell>
          <cell r="B897" t="str">
            <v>-</v>
          </cell>
          <cell r="C897">
            <v>20049</v>
          </cell>
          <cell r="D897" t="str">
            <v>225/55 R19</v>
          </cell>
          <cell r="E897">
            <v>103</v>
          </cell>
          <cell r="F897" t="str">
            <v>T</v>
          </cell>
          <cell r="G897" t="str">
            <v>ALTIMAX ARTIC X XL</v>
          </cell>
          <cell r="H897">
            <v>1558141</v>
          </cell>
          <cell r="I897">
            <v>52252</v>
          </cell>
          <cell r="J897">
            <v>0</v>
          </cell>
          <cell r="K897" t="str">
            <v>P2</v>
          </cell>
          <cell r="L897" t="str">
            <v>GOO</v>
          </cell>
          <cell r="M897" t="str">
            <v>G</v>
          </cell>
          <cell r="N897" t="str">
            <v>O</v>
          </cell>
          <cell r="O897" t="str">
            <v>O</v>
          </cell>
          <cell r="P897" t="str">
            <v/>
          </cell>
          <cell r="Q897" t="str">
            <v/>
          </cell>
          <cell r="R897" t="str">
            <v>-</v>
          </cell>
        </row>
        <row r="898">
          <cell r="A898">
            <v>1558244</v>
          </cell>
          <cell r="B898" t="str">
            <v>-</v>
          </cell>
          <cell r="C898">
            <v>2086</v>
          </cell>
          <cell r="D898" t="str">
            <v>225/55 R18</v>
          </cell>
          <cell r="E898">
            <v>98</v>
          </cell>
          <cell r="F898" t="str">
            <v>V</v>
          </cell>
          <cell r="G898" t="str">
            <v>ALTIMAX RT45</v>
          </cell>
          <cell r="H898">
            <v>1558244</v>
          </cell>
          <cell r="I898">
            <v>52029</v>
          </cell>
          <cell r="J898">
            <v>0</v>
          </cell>
          <cell r="K898" t="str">
            <v>P0</v>
          </cell>
          <cell r="L898" t="str">
            <v>AWAA</v>
          </cell>
          <cell r="M898" t="str">
            <v>A</v>
          </cell>
          <cell r="N898" t="str">
            <v>W</v>
          </cell>
          <cell r="O898" t="str">
            <v>A</v>
          </cell>
          <cell r="P898" t="str">
            <v>A</v>
          </cell>
          <cell r="Q898" t="str">
            <v/>
          </cell>
          <cell r="R898" t="str">
            <v>-</v>
          </cell>
        </row>
        <row r="899">
          <cell r="A899">
            <v>1558245</v>
          </cell>
          <cell r="B899" t="str">
            <v>-</v>
          </cell>
          <cell r="C899">
            <v>2141</v>
          </cell>
          <cell r="D899" t="str">
            <v>215/60 R17</v>
          </cell>
          <cell r="E899">
            <v>96</v>
          </cell>
          <cell r="F899" t="str">
            <v>H</v>
          </cell>
          <cell r="G899" t="str">
            <v>ALTIMAX RT 45</v>
          </cell>
          <cell r="H899">
            <v>1558245</v>
          </cell>
          <cell r="I899">
            <v>52504</v>
          </cell>
          <cell r="J899">
            <v>0</v>
          </cell>
          <cell r="K899" t="str">
            <v>P4</v>
          </cell>
          <cell r="L899" t="str">
            <v>RRRWG</v>
          </cell>
          <cell r="M899" t="str">
            <v>R</v>
          </cell>
          <cell r="N899" t="str">
            <v>R</v>
          </cell>
          <cell r="O899" t="str">
            <v>R</v>
          </cell>
          <cell r="P899" t="str">
            <v>W</v>
          </cell>
          <cell r="Q899" t="str">
            <v>G</v>
          </cell>
          <cell r="R899" t="str">
            <v>-</v>
          </cell>
        </row>
        <row r="900">
          <cell r="A900">
            <v>1559000</v>
          </cell>
          <cell r="B900" t="str">
            <v>-</v>
          </cell>
          <cell r="C900">
            <v>2066</v>
          </cell>
          <cell r="D900" t="str">
            <v>225/45 R17</v>
          </cell>
          <cell r="E900">
            <v>94</v>
          </cell>
          <cell r="F900" t="str">
            <v>Y</v>
          </cell>
          <cell r="G900" t="str">
            <v>SUMMER S XL</v>
          </cell>
          <cell r="H900">
            <v>1559000</v>
          </cell>
          <cell r="I900">
            <v>52328</v>
          </cell>
          <cell r="J900">
            <v>0</v>
          </cell>
          <cell r="K900" t="str">
            <v>P4</v>
          </cell>
          <cell r="L900" t="str">
            <v>YYGOG</v>
          </cell>
          <cell r="M900" t="str">
            <v>Y</v>
          </cell>
          <cell r="N900" t="str">
            <v>Y</v>
          </cell>
          <cell r="O900" t="str">
            <v>G</v>
          </cell>
          <cell r="P900" t="str">
            <v>O</v>
          </cell>
          <cell r="Q900" t="str">
            <v>G</v>
          </cell>
          <cell r="R900" t="str">
            <v>-</v>
          </cell>
        </row>
        <row r="901">
          <cell r="A901">
            <v>1559006</v>
          </cell>
          <cell r="B901" t="str">
            <v>-</v>
          </cell>
          <cell r="C901">
            <v>2435</v>
          </cell>
          <cell r="D901" t="str">
            <v>235/50 R18</v>
          </cell>
          <cell r="E901">
            <v>97</v>
          </cell>
          <cell r="F901" t="str">
            <v>V</v>
          </cell>
          <cell r="G901" t="str">
            <v>POINT S SUMMER</v>
          </cell>
          <cell r="H901">
            <v>1559006</v>
          </cell>
          <cell r="I901">
            <v>52300</v>
          </cell>
          <cell r="J901">
            <v>0</v>
          </cell>
          <cell r="K901" t="str">
            <v>P4</v>
          </cell>
          <cell r="L901" t="str">
            <v>YYYYO</v>
          </cell>
          <cell r="M901" t="str">
            <v>Y</v>
          </cell>
          <cell r="N901" t="str">
            <v>Y</v>
          </cell>
          <cell r="O901" t="str">
            <v>Y</v>
          </cell>
          <cell r="P901" t="str">
            <v>Y</v>
          </cell>
          <cell r="Q901" t="str">
            <v>O</v>
          </cell>
          <cell r="R901" t="str">
            <v>-</v>
          </cell>
        </row>
        <row r="902">
          <cell r="A902">
            <v>1559008</v>
          </cell>
          <cell r="B902" t="str">
            <v>-</v>
          </cell>
          <cell r="C902">
            <v>6071</v>
          </cell>
          <cell r="D902" t="str">
            <v>245/45 R18</v>
          </cell>
          <cell r="E902">
            <v>100</v>
          </cell>
          <cell r="F902" t="str">
            <v>Y</v>
          </cell>
          <cell r="G902" t="str">
            <v>SUMMER S XL</v>
          </cell>
          <cell r="H902">
            <v>1559008</v>
          </cell>
          <cell r="I902">
            <v>52708</v>
          </cell>
          <cell r="J902">
            <v>0</v>
          </cell>
          <cell r="K902" t="str">
            <v>P4</v>
          </cell>
          <cell r="L902" t="str">
            <v>AWGGW</v>
          </cell>
          <cell r="M902" t="str">
            <v>A</v>
          </cell>
          <cell r="N902" t="str">
            <v>W</v>
          </cell>
          <cell r="O902" t="str">
            <v>G</v>
          </cell>
          <cell r="P902" t="str">
            <v>G</v>
          </cell>
          <cell r="Q902" t="str">
            <v>W</v>
          </cell>
          <cell r="R902" t="str">
            <v>-</v>
          </cell>
        </row>
        <row r="903">
          <cell r="A903">
            <v>1559010</v>
          </cell>
          <cell r="B903">
            <v>495</v>
          </cell>
          <cell r="C903">
            <v>58011</v>
          </cell>
          <cell r="D903" t="str">
            <v>255/35 R19</v>
          </cell>
          <cell r="E903">
            <v>96</v>
          </cell>
          <cell r="F903" t="str">
            <v>Y</v>
          </cell>
          <cell r="G903" t="str">
            <v>POINT S SUMMER S XL</v>
          </cell>
          <cell r="H903">
            <v>1559010</v>
          </cell>
          <cell r="I903">
            <v>52494</v>
          </cell>
          <cell r="J903">
            <v>0</v>
          </cell>
          <cell r="K903" t="str">
            <v>P0</v>
          </cell>
          <cell r="L903" t="str">
            <v>YYYYR</v>
          </cell>
          <cell r="M903" t="str">
            <v>Y</v>
          </cell>
          <cell r="N903" t="str">
            <v>Y</v>
          </cell>
          <cell r="O903" t="str">
            <v>Y</v>
          </cell>
          <cell r="P903" t="str">
            <v>Y</v>
          </cell>
          <cell r="Q903" t="str">
            <v>R</v>
          </cell>
          <cell r="R903" t="str">
            <v>-</v>
          </cell>
        </row>
        <row r="904">
          <cell r="A904">
            <v>1559012</v>
          </cell>
          <cell r="B904">
            <v>841</v>
          </cell>
          <cell r="C904">
            <v>54</v>
          </cell>
          <cell r="D904" t="str">
            <v>205/45 R17</v>
          </cell>
          <cell r="E904">
            <v>88</v>
          </cell>
          <cell r="F904" t="str">
            <v>W</v>
          </cell>
          <cell r="G904" t="str">
            <v>POINT S SUMMER XL</v>
          </cell>
          <cell r="H904">
            <v>1559012</v>
          </cell>
          <cell r="I904">
            <v>52772</v>
          </cell>
          <cell r="J904">
            <v>0</v>
          </cell>
          <cell r="K904" t="str">
            <v>P4</v>
          </cell>
          <cell r="L904" t="str">
            <v>AW</v>
          </cell>
          <cell r="M904" t="str">
            <v>A</v>
          </cell>
          <cell r="N904" t="str">
            <v>W</v>
          </cell>
          <cell r="O904" t="str">
            <v/>
          </cell>
          <cell r="P904" t="str">
            <v/>
          </cell>
          <cell r="Q904" t="str">
            <v/>
          </cell>
          <cell r="R904" t="str">
            <v>-</v>
          </cell>
        </row>
        <row r="905">
          <cell r="A905">
            <v>1559014</v>
          </cell>
          <cell r="B905" t="str">
            <v>-</v>
          </cell>
          <cell r="C905">
            <v>4091</v>
          </cell>
          <cell r="D905" t="str">
            <v>205/55 R17</v>
          </cell>
          <cell r="E905">
            <v>95</v>
          </cell>
          <cell r="F905" t="str">
            <v>V</v>
          </cell>
          <cell r="G905" t="str">
            <v>POINT S SUMMER XL</v>
          </cell>
          <cell r="H905">
            <v>1559014</v>
          </cell>
          <cell r="I905">
            <v>52720</v>
          </cell>
          <cell r="J905">
            <v>0</v>
          </cell>
          <cell r="K905" t="str">
            <v>P2</v>
          </cell>
          <cell r="L905" t="str">
            <v>YARGA</v>
          </cell>
          <cell r="M905" t="str">
            <v>Y</v>
          </cell>
          <cell r="N905" t="str">
            <v>A</v>
          </cell>
          <cell r="O905" t="str">
            <v>R</v>
          </cell>
          <cell r="P905" t="str">
            <v>G</v>
          </cell>
          <cell r="Q905" t="str">
            <v>A</v>
          </cell>
          <cell r="R905" t="str">
            <v>-</v>
          </cell>
        </row>
        <row r="906">
          <cell r="A906">
            <v>1559015</v>
          </cell>
          <cell r="B906">
            <v>305</v>
          </cell>
          <cell r="C906">
            <v>5365</v>
          </cell>
          <cell r="D906" t="str">
            <v>215/50 R17</v>
          </cell>
          <cell r="E906">
            <v>95</v>
          </cell>
          <cell r="F906" t="str">
            <v>W</v>
          </cell>
          <cell r="G906" t="str">
            <v>SUMMER S XL</v>
          </cell>
          <cell r="H906">
            <v>1559015</v>
          </cell>
          <cell r="I906">
            <v>52305</v>
          </cell>
          <cell r="J906">
            <v>0</v>
          </cell>
          <cell r="K906" t="str">
            <v>P4</v>
          </cell>
          <cell r="L906" t="str">
            <v>YWGG</v>
          </cell>
          <cell r="M906" t="str">
            <v>Y</v>
          </cell>
          <cell r="N906" t="str">
            <v>W</v>
          </cell>
          <cell r="O906" t="str">
            <v>G</v>
          </cell>
          <cell r="P906" t="str">
            <v>G</v>
          </cell>
          <cell r="Q906" t="str">
            <v/>
          </cell>
          <cell r="R906" t="str">
            <v>-</v>
          </cell>
        </row>
        <row r="907">
          <cell r="A907">
            <v>1559020</v>
          </cell>
          <cell r="B907">
            <v>84</v>
          </cell>
          <cell r="C907">
            <v>5097</v>
          </cell>
          <cell r="D907" t="str">
            <v>195/50 R16</v>
          </cell>
          <cell r="E907">
            <v>88</v>
          </cell>
          <cell r="F907" t="str">
            <v>V</v>
          </cell>
          <cell r="G907" t="str">
            <v>POINT S SUMMER XL</v>
          </cell>
          <cell r="H907">
            <v>1559020</v>
          </cell>
          <cell r="I907">
            <v>52084</v>
          </cell>
          <cell r="J907">
            <v>0</v>
          </cell>
          <cell r="K907" t="str">
            <v>P8</v>
          </cell>
          <cell r="L907" t="str">
            <v>AWWY</v>
          </cell>
          <cell r="M907" t="str">
            <v>A</v>
          </cell>
          <cell r="N907" t="str">
            <v>W</v>
          </cell>
          <cell r="O907" t="str">
            <v>W</v>
          </cell>
          <cell r="P907" t="str">
            <v>Y</v>
          </cell>
          <cell r="Q907" t="str">
            <v/>
          </cell>
          <cell r="R907" t="str">
            <v>-</v>
          </cell>
        </row>
        <row r="908">
          <cell r="A908">
            <v>1559026</v>
          </cell>
          <cell r="B908" t="str">
            <v>-</v>
          </cell>
          <cell r="C908">
            <v>6091</v>
          </cell>
          <cell r="D908" t="str">
            <v>225/60 R17</v>
          </cell>
          <cell r="E908">
            <v>99</v>
          </cell>
          <cell r="F908" t="str">
            <v>H</v>
          </cell>
          <cell r="G908" t="str">
            <v>SUMMER S</v>
          </cell>
          <cell r="H908">
            <v>1559026</v>
          </cell>
          <cell r="I908">
            <v>52208</v>
          </cell>
          <cell r="J908">
            <v>0</v>
          </cell>
          <cell r="K908" t="str">
            <v>P4</v>
          </cell>
          <cell r="L908" t="str">
            <v>ARWAR</v>
          </cell>
          <cell r="M908" t="str">
            <v>A</v>
          </cell>
          <cell r="N908" t="str">
            <v>R</v>
          </cell>
          <cell r="O908" t="str">
            <v>W</v>
          </cell>
          <cell r="P908" t="str">
            <v>A</v>
          </cell>
          <cell r="Q908" t="str">
            <v>R</v>
          </cell>
          <cell r="R908" t="str">
            <v>-</v>
          </cell>
        </row>
        <row r="909">
          <cell r="A909">
            <v>1559027</v>
          </cell>
          <cell r="B909" t="str">
            <v>-</v>
          </cell>
          <cell r="C909">
            <v>4074</v>
          </cell>
          <cell r="D909" t="str">
            <v>235/55 R17</v>
          </cell>
          <cell r="E909">
            <v>103</v>
          </cell>
          <cell r="F909" t="str">
            <v>W</v>
          </cell>
          <cell r="G909" t="str">
            <v>SUMMER S XL</v>
          </cell>
          <cell r="H909">
            <v>1559027</v>
          </cell>
          <cell r="I909">
            <v>52431</v>
          </cell>
          <cell r="J909">
            <v>0</v>
          </cell>
          <cell r="K909" t="str">
            <v>P0</v>
          </cell>
          <cell r="L909" t="str">
            <v>RRRAW</v>
          </cell>
          <cell r="M909" t="str">
            <v>R</v>
          </cell>
          <cell r="N909" t="str">
            <v>R</v>
          </cell>
          <cell r="O909" t="str">
            <v>R</v>
          </cell>
          <cell r="P909" t="str">
            <v>A</v>
          </cell>
          <cell r="Q909" t="str">
            <v>W</v>
          </cell>
          <cell r="R909" t="str">
            <v>-</v>
          </cell>
        </row>
        <row r="910">
          <cell r="A910">
            <v>1559028</v>
          </cell>
          <cell r="B910">
            <v>872</v>
          </cell>
          <cell r="C910">
            <v>6051</v>
          </cell>
          <cell r="D910" t="str">
            <v>215/55 R18</v>
          </cell>
          <cell r="E910">
            <v>99</v>
          </cell>
          <cell r="F910" t="str">
            <v>V</v>
          </cell>
          <cell r="G910" t="str">
            <v>POINT S SUMMER XL</v>
          </cell>
          <cell r="H910">
            <v>1559028</v>
          </cell>
          <cell r="I910">
            <v>52875</v>
          </cell>
          <cell r="J910">
            <v>0</v>
          </cell>
          <cell r="K910" t="str">
            <v>P4</v>
          </cell>
          <cell r="L910" t="str">
            <v>YYOO</v>
          </cell>
          <cell r="M910" t="str">
            <v>Y</v>
          </cell>
          <cell r="N910" t="str">
            <v>Y</v>
          </cell>
          <cell r="O910" t="str">
            <v>O</v>
          </cell>
          <cell r="P910" t="str">
            <v>O</v>
          </cell>
          <cell r="Q910" t="str">
            <v/>
          </cell>
          <cell r="R910" t="str">
            <v>-</v>
          </cell>
        </row>
        <row r="911">
          <cell r="A911">
            <v>1559030</v>
          </cell>
          <cell r="B911">
            <v>854</v>
          </cell>
          <cell r="C911">
            <v>2002</v>
          </cell>
          <cell r="D911" t="str">
            <v>225/55 R18</v>
          </cell>
          <cell r="E911">
            <v>98</v>
          </cell>
          <cell r="F911" t="str">
            <v>V</v>
          </cell>
          <cell r="G911" t="str">
            <v>POINT S SUMMER</v>
          </cell>
          <cell r="H911">
            <v>1559030</v>
          </cell>
          <cell r="I911">
            <v>52054</v>
          </cell>
          <cell r="J911">
            <v>0</v>
          </cell>
          <cell r="K911" t="str">
            <v>P4</v>
          </cell>
          <cell r="L911" t="str">
            <v>WOG</v>
          </cell>
          <cell r="M911" t="str">
            <v>W</v>
          </cell>
          <cell r="N911" t="str">
            <v>O</v>
          </cell>
          <cell r="O911" t="str">
            <v>G</v>
          </cell>
          <cell r="P911" t="str">
            <v/>
          </cell>
          <cell r="Q911" t="str">
            <v/>
          </cell>
          <cell r="R911" t="str">
            <v>-</v>
          </cell>
        </row>
        <row r="912">
          <cell r="A912">
            <v>1559031</v>
          </cell>
          <cell r="B912" t="str">
            <v>-</v>
          </cell>
          <cell r="C912">
            <v>5066</v>
          </cell>
          <cell r="D912" t="str">
            <v>235/45 R18</v>
          </cell>
          <cell r="E912">
            <v>98</v>
          </cell>
          <cell r="F912" t="str">
            <v>Y</v>
          </cell>
          <cell r="G912" t="str">
            <v>POINT S SUMMER XL</v>
          </cell>
          <cell r="H912">
            <v>1559031</v>
          </cell>
          <cell r="I912">
            <v>52655</v>
          </cell>
          <cell r="J912">
            <v>0</v>
          </cell>
          <cell r="K912" t="str">
            <v>P4</v>
          </cell>
          <cell r="L912" t="str">
            <v>RGOGG</v>
          </cell>
          <cell r="M912" t="str">
            <v>R</v>
          </cell>
          <cell r="N912" t="str">
            <v>G</v>
          </cell>
          <cell r="O912" t="str">
            <v>O</v>
          </cell>
          <cell r="P912" t="str">
            <v>G</v>
          </cell>
          <cell r="Q912" t="str">
            <v>G</v>
          </cell>
          <cell r="R912" t="str">
            <v>-</v>
          </cell>
        </row>
        <row r="913">
          <cell r="A913">
            <v>1559032</v>
          </cell>
          <cell r="B913" t="str">
            <v>-</v>
          </cell>
          <cell r="C913">
            <v>3045</v>
          </cell>
          <cell r="D913" t="str">
            <v>235/60 R18</v>
          </cell>
          <cell r="E913">
            <v>103</v>
          </cell>
          <cell r="F913" t="str">
            <v>V</v>
          </cell>
          <cell r="G913" t="str">
            <v>SUMMER S</v>
          </cell>
          <cell r="H913">
            <v>1559032</v>
          </cell>
          <cell r="I913">
            <v>52500</v>
          </cell>
          <cell r="J913">
            <v>0</v>
          </cell>
          <cell r="K913" t="str">
            <v>P5</v>
          </cell>
          <cell r="L913" t="str">
            <v>GAGA</v>
          </cell>
          <cell r="M913" t="str">
            <v>G</v>
          </cell>
          <cell r="N913" t="str">
            <v>A</v>
          </cell>
          <cell r="O913" t="str">
            <v>G</v>
          </cell>
          <cell r="P913" t="str">
            <v>A</v>
          </cell>
          <cell r="Q913" t="str">
            <v/>
          </cell>
          <cell r="R913" t="str">
            <v>-</v>
          </cell>
        </row>
        <row r="914">
          <cell r="A914">
            <v>1559033</v>
          </cell>
          <cell r="B914">
            <v>906</v>
          </cell>
          <cell r="C914">
            <v>2202</v>
          </cell>
          <cell r="D914" t="str">
            <v>225/45 R19</v>
          </cell>
          <cell r="E914">
            <v>96</v>
          </cell>
          <cell r="F914" t="str">
            <v>W</v>
          </cell>
          <cell r="G914" t="str">
            <v>SUMMER S XL</v>
          </cell>
          <cell r="H914">
            <v>1559033</v>
          </cell>
          <cell r="I914">
            <v>52826</v>
          </cell>
          <cell r="J914">
            <v>0</v>
          </cell>
          <cell r="K914" t="str">
            <v>P4</v>
          </cell>
          <cell r="L914" t="str">
            <v>WRRYG</v>
          </cell>
          <cell r="M914" t="str">
            <v>W</v>
          </cell>
          <cell r="N914" t="str">
            <v>R</v>
          </cell>
          <cell r="O914" t="str">
            <v>R</v>
          </cell>
          <cell r="P914" t="str">
            <v>Y</v>
          </cell>
          <cell r="Q914" t="str">
            <v>G</v>
          </cell>
          <cell r="R914" t="str">
            <v>-</v>
          </cell>
        </row>
        <row r="915">
          <cell r="A915">
            <v>1559099</v>
          </cell>
          <cell r="B915">
            <v>979</v>
          </cell>
          <cell r="C915">
            <v>5386</v>
          </cell>
          <cell r="D915" t="str">
            <v>195/45 R16</v>
          </cell>
          <cell r="E915">
            <v>84</v>
          </cell>
          <cell r="F915" t="str">
            <v>V</v>
          </cell>
          <cell r="G915" t="str">
            <v>EFFICIENCY SUMMER XL</v>
          </cell>
          <cell r="H915">
            <v>1559099</v>
          </cell>
          <cell r="I915">
            <v>52878</v>
          </cell>
          <cell r="J915">
            <v>0</v>
          </cell>
          <cell r="K915" t="str">
            <v>P8</v>
          </cell>
          <cell r="L915" t="str">
            <v>RYOW</v>
          </cell>
          <cell r="M915" t="str">
            <v>R</v>
          </cell>
          <cell r="N915" t="str">
            <v>Y</v>
          </cell>
          <cell r="O915" t="str">
            <v>O</v>
          </cell>
          <cell r="P915" t="str">
            <v>W</v>
          </cell>
          <cell r="Q915" t="str">
            <v/>
          </cell>
          <cell r="R915" t="str">
            <v>-</v>
          </cell>
        </row>
        <row r="916">
          <cell r="A916">
            <v>1559107</v>
          </cell>
          <cell r="B916">
            <v>734</v>
          </cell>
          <cell r="C916">
            <v>4028</v>
          </cell>
          <cell r="D916" t="str">
            <v>205/45 R17</v>
          </cell>
          <cell r="E916">
            <v>88</v>
          </cell>
          <cell r="F916" t="str">
            <v>Y</v>
          </cell>
          <cell r="G916" t="str">
            <v>EFFICIENCY S3 XL</v>
          </cell>
          <cell r="H916">
            <v>1559107</v>
          </cell>
          <cell r="I916">
            <v>52534</v>
          </cell>
          <cell r="J916">
            <v>0</v>
          </cell>
          <cell r="K916" t="str">
            <v>P4</v>
          </cell>
          <cell r="L916" t="str">
            <v>O</v>
          </cell>
          <cell r="M916" t="str">
            <v>O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>-</v>
          </cell>
        </row>
        <row r="917">
          <cell r="A917">
            <v>1559111</v>
          </cell>
          <cell r="B917" t="str">
            <v>-</v>
          </cell>
          <cell r="C917">
            <v>4091</v>
          </cell>
          <cell r="D917" t="str">
            <v>205/55 R17</v>
          </cell>
          <cell r="E917">
            <v>95</v>
          </cell>
          <cell r="F917" t="str">
            <v>V</v>
          </cell>
          <cell r="G917" t="str">
            <v>EFFICIENCY SUMMER3 XL</v>
          </cell>
          <cell r="H917">
            <v>1559111</v>
          </cell>
          <cell r="I917">
            <v>52720</v>
          </cell>
          <cell r="J917">
            <v>0</v>
          </cell>
          <cell r="K917" t="str">
            <v>P2</v>
          </cell>
          <cell r="L917" t="str">
            <v>YARGA</v>
          </cell>
          <cell r="M917" t="str">
            <v>Y</v>
          </cell>
          <cell r="N917" t="str">
            <v>A</v>
          </cell>
          <cell r="O917" t="str">
            <v>R</v>
          </cell>
          <cell r="P917" t="str">
            <v>G</v>
          </cell>
          <cell r="Q917" t="str">
            <v>A</v>
          </cell>
          <cell r="R917" t="str">
            <v>-</v>
          </cell>
        </row>
        <row r="918">
          <cell r="A918">
            <v>1559116</v>
          </cell>
          <cell r="B918">
            <v>838</v>
          </cell>
          <cell r="C918">
            <v>5037</v>
          </cell>
          <cell r="D918" t="str">
            <v>215/45 R17</v>
          </cell>
          <cell r="E918">
            <v>91</v>
          </cell>
          <cell r="F918" t="str">
            <v>Y</v>
          </cell>
          <cell r="G918" t="str">
            <v>EFFICIENCY SUMMER XL</v>
          </cell>
          <cell r="H918">
            <v>1559116</v>
          </cell>
          <cell r="I918">
            <v>52638</v>
          </cell>
          <cell r="J918">
            <v>0</v>
          </cell>
          <cell r="K918" t="str">
            <v>P4</v>
          </cell>
          <cell r="L918" t="str">
            <v>AAYRR</v>
          </cell>
          <cell r="M918" t="str">
            <v>A</v>
          </cell>
          <cell r="N918" t="str">
            <v>A</v>
          </cell>
          <cell r="O918" t="str">
            <v>Y</v>
          </cell>
          <cell r="P918" t="str">
            <v>R</v>
          </cell>
          <cell r="Q918" t="str">
            <v>R</v>
          </cell>
          <cell r="R918" t="str">
            <v>-</v>
          </cell>
        </row>
        <row r="919">
          <cell r="A919">
            <v>1559117</v>
          </cell>
          <cell r="B919">
            <v>886</v>
          </cell>
          <cell r="C919">
            <v>5165</v>
          </cell>
          <cell r="D919" t="str">
            <v>215/50 R17</v>
          </cell>
          <cell r="E919">
            <v>95</v>
          </cell>
          <cell r="F919" t="str">
            <v>Y</v>
          </cell>
          <cell r="G919" t="str">
            <v>EFFICIENCY SUMMER 3 XL</v>
          </cell>
          <cell r="H919">
            <v>1559117</v>
          </cell>
          <cell r="I919">
            <v>52786</v>
          </cell>
          <cell r="J919">
            <v>0</v>
          </cell>
          <cell r="K919" t="str">
            <v>P4</v>
          </cell>
          <cell r="L919" t="str">
            <v>AGAO</v>
          </cell>
          <cell r="M919" t="str">
            <v>A</v>
          </cell>
          <cell r="N919" t="str">
            <v>G</v>
          </cell>
          <cell r="O919" t="str">
            <v>A</v>
          </cell>
          <cell r="P919" t="str">
            <v>O</v>
          </cell>
          <cell r="Q919" t="str">
            <v/>
          </cell>
          <cell r="R919" t="str">
            <v>-</v>
          </cell>
        </row>
        <row r="920">
          <cell r="A920">
            <v>1559119</v>
          </cell>
          <cell r="B920">
            <v>963</v>
          </cell>
          <cell r="C920">
            <v>3021</v>
          </cell>
          <cell r="D920" t="str">
            <v>215/55 R17</v>
          </cell>
          <cell r="E920">
            <v>94</v>
          </cell>
          <cell r="F920" t="str">
            <v>Y</v>
          </cell>
          <cell r="G920" t="str">
            <v>SUMMER 3</v>
          </cell>
          <cell r="H920">
            <v>1559119</v>
          </cell>
          <cell r="I920">
            <v>52863</v>
          </cell>
          <cell r="J920">
            <v>0</v>
          </cell>
          <cell r="K920" t="str">
            <v>P4</v>
          </cell>
          <cell r="L920" t="str">
            <v>YYRRG</v>
          </cell>
          <cell r="M920" t="str">
            <v>Y</v>
          </cell>
          <cell r="N920" t="str">
            <v>Y</v>
          </cell>
          <cell r="O920" t="str">
            <v>R</v>
          </cell>
          <cell r="P920" t="str">
            <v>R</v>
          </cell>
          <cell r="Q920" t="str">
            <v>G</v>
          </cell>
          <cell r="R920" t="str">
            <v>-</v>
          </cell>
        </row>
        <row r="921">
          <cell r="A921">
            <v>1559120</v>
          </cell>
          <cell r="B921" t="str">
            <v>-</v>
          </cell>
          <cell r="C921">
            <v>5096</v>
          </cell>
          <cell r="D921" t="str">
            <v>215/55 R18</v>
          </cell>
          <cell r="E921">
            <v>99</v>
          </cell>
          <cell r="F921" t="str">
            <v>V</v>
          </cell>
          <cell r="G921" t="str">
            <v>EFFICIENCY SUMMER 3 XL</v>
          </cell>
          <cell r="H921">
            <v>1559120</v>
          </cell>
          <cell r="I921">
            <v>52688</v>
          </cell>
          <cell r="J921">
            <v>0</v>
          </cell>
          <cell r="K921" t="str">
            <v>P4</v>
          </cell>
          <cell r="L921" t="str">
            <v>YGAAR</v>
          </cell>
          <cell r="M921" t="str">
            <v>Y</v>
          </cell>
          <cell r="N921" t="str">
            <v>G</v>
          </cell>
          <cell r="O921" t="str">
            <v>A</v>
          </cell>
          <cell r="P921" t="str">
            <v>A</v>
          </cell>
          <cell r="Q921" t="str">
            <v>R</v>
          </cell>
          <cell r="R921" t="str">
            <v>-</v>
          </cell>
        </row>
        <row r="922">
          <cell r="A922">
            <v>1559122</v>
          </cell>
          <cell r="B922">
            <v>61</v>
          </cell>
          <cell r="C922">
            <v>2188</v>
          </cell>
          <cell r="D922" t="str">
            <v>215/60 R17</v>
          </cell>
          <cell r="E922">
            <v>96</v>
          </cell>
          <cell r="F922" t="str">
            <v>H</v>
          </cell>
          <cell r="G922" t="str">
            <v>EFFICIENCY SUMMER 3</v>
          </cell>
          <cell r="H922">
            <v>1559122</v>
          </cell>
          <cell r="I922">
            <v>52061</v>
          </cell>
          <cell r="J922">
            <v>0</v>
          </cell>
          <cell r="K922" t="str">
            <v>P4</v>
          </cell>
          <cell r="L922" t="str">
            <v>YYRAR</v>
          </cell>
          <cell r="M922" t="str">
            <v>Y</v>
          </cell>
          <cell r="N922" t="str">
            <v>Y</v>
          </cell>
          <cell r="O922" t="str">
            <v>R</v>
          </cell>
          <cell r="P922" t="str">
            <v>A</v>
          </cell>
          <cell r="Q922" t="str">
            <v>R</v>
          </cell>
          <cell r="R922" t="str">
            <v>-</v>
          </cell>
        </row>
        <row r="923">
          <cell r="A923">
            <v>1559127</v>
          </cell>
          <cell r="B923">
            <v>686</v>
          </cell>
          <cell r="C923">
            <v>2302</v>
          </cell>
          <cell r="D923" t="str">
            <v>225/55 R18</v>
          </cell>
          <cell r="E923">
            <v>98</v>
          </cell>
          <cell r="F923" t="str">
            <v>V</v>
          </cell>
          <cell r="G923" t="str">
            <v>EFFICIENCY SUMMER 3</v>
          </cell>
          <cell r="H923">
            <v>1559127</v>
          </cell>
          <cell r="I923">
            <v>52685</v>
          </cell>
          <cell r="J923">
            <v>0</v>
          </cell>
          <cell r="K923" t="str">
            <v>P4</v>
          </cell>
          <cell r="L923" t="str">
            <v>OWAA</v>
          </cell>
          <cell r="M923" t="str">
            <v>O</v>
          </cell>
          <cell r="N923" t="str">
            <v>W</v>
          </cell>
          <cell r="O923" t="str">
            <v>A</v>
          </cell>
          <cell r="P923" t="str">
            <v>A</v>
          </cell>
          <cell r="Q923" t="str">
            <v/>
          </cell>
          <cell r="R923" t="str">
            <v>-</v>
          </cell>
        </row>
        <row r="924">
          <cell r="A924">
            <v>1559128</v>
          </cell>
          <cell r="B924">
            <v>564</v>
          </cell>
          <cell r="C924">
            <v>58054</v>
          </cell>
          <cell r="D924" t="str">
            <v>235/40 R18</v>
          </cell>
          <cell r="E924">
            <v>95</v>
          </cell>
          <cell r="F924" t="str">
            <v>Y</v>
          </cell>
          <cell r="G924" t="str">
            <v>EFFICIENCY XL</v>
          </cell>
          <cell r="H924">
            <v>1559128</v>
          </cell>
          <cell r="I924">
            <v>52562</v>
          </cell>
          <cell r="J924">
            <v>0</v>
          </cell>
          <cell r="K924" t="str">
            <v>P4</v>
          </cell>
          <cell r="L924" t="str">
            <v>YYYR</v>
          </cell>
          <cell r="M924" t="str">
            <v>Y</v>
          </cell>
          <cell r="N924" t="str">
            <v>Y</v>
          </cell>
          <cell r="O924" t="str">
            <v>Y</v>
          </cell>
          <cell r="P924" t="str">
            <v>R</v>
          </cell>
          <cell r="Q924" t="str">
            <v/>
          </cell>
          <cell r="R924" t="str">
            <v>-</v>
          </cell>
        </row>
        <row r="925">
          <cell r="A925">
            <v>1559129</v>
          </cell>
          <cell r="B925">
            <v>239</v>
          </cell>
          <cell r="C925">
            <v>2235</v>
          </cell>
          <cell r="D925" t="str">
            <v>235/45 R17</v>
          </cell>
          <cell r="E925">
            <v>97</v>
          </cell>
          <cell r="F925" t="str">
            <v>Y</v>
          </cell>
          <cell r="G925" t="str">
            <v>EFFICIENCY SUMMER 3 XL</v>
          </cell>
          <cell r="H925">
            <v>1559129</v>
          </cell>
          <cell r="I925">
            <v>52238</v>
          </cell>
          <cell r="J925">
            <v>0</v>
          </cell>
          <cell r="K925" t="str">
            <v>P4</v>
          </cell>
          <cell r="L925" t="str">
            <v>YYYOO</v>
          </cell>
          <cell r="M925" t="str">
            <v>Y</v>
          </cell>
          <cell r="N925" t="str">
            <v>Y</v>
          </cell>
          <cell r="O925" t="str">
            <v>Y</v>
          </cell>
          <cell r="P925" t="str">
            <v>O</v>
          </cell>
          <cell r="Q925" t="str">
            <v>O</v>
          </cell>
          <cell r="R925" t="str">
            <v>-</v>
          </cell>
        </row>
        <row r="926">
          <cell r="A926">
            <v>1559131</v>
          </cell>
          <cell r="B926">
            <v>233</v>
          </cell>
          <cell r="C926">
            <v>2073</v>
          </cell>
          <cell r="D926" t="str">
            <v>235/55 R18</v>
          </cell>
          <cell r="E926">
            <v>100</v>
          </cell>
          <cell r="F926" t="str">
            <v>V</v>
          </cell>
          <cell r="G926" t="str">
            <v>EFFICIENCY</v>
          </cell>
          <cell r="H926">
            <v>1559131</v>
          </cell>
          <cell r="I926">
            <v>52023</v>
          </cell>
          <cell r="J926">
            <v>0</v>
          </cell>
          <cell r="K926" t="str">
            <v>P4</v>
          </cell>
          <cell r="L926" t="str">
            <v>YYRO</v>
          </cell>
          <cell r="M926" t="str">
            <v>Y</v>
          </cell>
          <cell r="N926" t="str">
            <v>Y</v>
          </cell>
          <cell r="O926" t="str">
            <v>R</v>
          </cell>
          <cell r="P926" t="str">
            <v>O</v>
          </cell>
          <cell r="Q926" t="str">
            <v/>
          </cell>
          <cell r="R926" t="str">
            <v>-</v>
          </cell>
        </row>
        <row r="927">
          <cell r="A927">
            <v>1559192</v>
          </cell>
          <cell r="B927">
            <v>455</v>
          </cell>
          <cell r="C927">
            <v>5177</v>
          </cell>
          <cell r="D927" t="str">
            <v>205/50 R17</v>
          </cell>
          <cell r="E927">
            <v>93</v>
          </cell>
          <cell r="F927" t="str">
            <v>W</v>
          </cell>
          <cell r="G927" t="str">
            <v>EURODRIVE 3 XL</v>
          </cell>
          <cell r="H927">
            <v>1559192</v>
          </cell>
          <cell r="I927">
            <v>52458</v>
          </cell>
          <cell r="J927">
            <v>0</v>
          </cell>
          <cell r="K927" t="str">
            <v>P4</v>
          </cell>
          <cell r="L927" t="str">
            <v>AGG</v>
          </cell>
          <cell r="M927" t="str">
            <v>A</v>
          </cell>
          <cell r="N927" t="str">
            <v>G</v>
          </cell>
          <cell r="O927" t="str">
            <v>G</v>
          </cell>
          <cell r="P927" t="str">
            <v/>
          </cell>
          <cell r="Q927" t="str">
            <v/>
          </cell>
          <cell r="R927" t="str">
            <v>-</v>
          </cell>
        </row>
        <row r="928">
          <cell r="A928">
            <v>1559193</v>
          </cell>
          <cell r="B928">
            <v>600</v>
          </cell>
          <cell r="C928">
            <v>3179</v>
          </cell>
          <cell r="D928" t="str">
            <v>215/50 R17</v>
          </cell>
          <cell r="E928">
            <v>95</v>
          </cell>
          <cell r="F928" t="str">
            <v>W</v>
          </cell>
          <cell r="G928" t="str">
            <v>EURODRIVE 3 XL</v>
          </cell>
          <cell r="H928">
            <v>1559193</v>
          </cell>
          <cell r="I928">
            <v>52600</v>
          </cell>
          <cell r="J928">
            <v>0</v>
          </cell>
          <cell r="K928" t="str">
            <v>P4</v>
          </cell>
          <cell r="L928" t="str">
            <v>YYRRO</v>
          </cell>
          <cell r="M928" t="str">
            <v>Y</v>
          </cell>
          <cell r="N928" t="str">
            <v>Y</v>
          </cell>
          <cell r="O928" t="str">
            <v>R</v>
          </cell>
          <cell r="P928" t="str">
            <v>R</v>
          </cell>
          <cell r="Q928" t="str">
            <v>O</v>
          </cell>
          <cell r="R928" t="str">
            <v>-</v>
          </cell>
        </row>
        <row r="929">
          <cell r="A929">
            <v>1559196</v>
          </cell>
          <cell r="B929" t="str">
            <v>-</v>
          </cell>
          <cell r="C929">
            <v>4083</v>
          </cell>
          <cell r="D929" t="str">
            <v>225/45 R17</v>
          </cell>
          <cell r="E929">
            <v>94</v>
          </cell>
          <cell r="F929" t="str">
            <v>Y</v>
          </cell>
          <cell r="G929" t="str">
            <v>EURODRIVE 3 XL</v>
          </cell>
          <cell r="H929">
            <v>1559196</v>
          </cell>
          <cell r="I929">
            <v>52398</v>
          </cell>
          <cell r="J929">
            <v>0</v>
          </cell>
          <cell r="K929" t="str">
            <v>P4</v>
          </cell>
          <cell r="L929" t="str">
            <v>AGAGY</v>
          </cell>
          <cell r="M929" t="str">
            <v>A</v>
          </cell>
          <cell r="N929" t="str">
            <v>G</v>
          </cell>
          <cell r="O929" t="str">
            <v>A</v>
          </cell>
          <cell r="P929" t="str">
            <v>G</v>
          </cell>
          <cell r="Q929" t="str">
            <v>Y</v>
          </cell>
          <cell r="R929" t="str">
            <v>-</v>
          </cell>
        </row>
        <row r="930">
          <cell r="A930">
            <v>1559206</v>
          </cell>
          <cell r="B930">
            <v>731</v>
          </cell>
          <cell r="C930">
            <v>6229</v>
          </cell>
          <cell r="D930" t="str">
            <v>195/60 R16</v>
          </cell>
          <cell r="E930">
            <v>89</v>
          </cell>
          <cell r="F930" t="str">
            <v>H</v>
          </cell>
          <cell r="G930" t="str">
            <v>PREVENSYS</v>
          </cell>
          <cell r="H930">
            <v>1559206</v>
          </cell>
          <cell r="I930">
            <v>52731</v>
          </cell>
          <cell r="J930">
            <v>0</v>
          </cell>
          <cell r="K930" t="str">
            <v>P4</v>
          </cell>
          <cell r="L930" t="str">
            <v>OOR</v>
          </cell>
          <cell r="M930" t="str">
            <v>O</v>
          </cell>
          <cell r="N930" t="str">
            <v>O</v>
          </cell>
          <cell r="O930" t="str">
            <v>R</v>
          </cell>
          <cell r="P930" t="str">
            <v/>
          </cell>
          <cell r="Q930" t="str">
            <v/>
          </cell>
          <cell r="R930" t="str">
            <v>-</v>
          </cell>
        </row>
        <row r="931">
          <cell r="A931">
            <v>1559207</v>
          </cell>
          <cell r="B931" t="str">
            <v>-</v>
          </cell>
          <cell r="C931">
            <v>4068</v>
          </cell>
          <cell r="D931" t="str">
            <v>235/55 R18</v>
          </cell>
          <cell r="E931">
            <v>100</v>
          </cell>
          <cell r="F931" t="str">
            <v>V</v>
          </cell>
          <cell r="G931" t="str">
            <v>PREVENSYS</v>
          </cell>
          <cell r="H931">
            <v>1559207</v>
          </cell>
          <cell r="I931">
            <v>52883</v>
          </cell>
          <cell r="J931">
            <v>0</v>
          </cell>
          <cell r="K931" t="str">
            <v>P4</v>
          </cell>
          <cell r="L931" t="str">
            <v>AWWR</v>
          </cell>
          <cell r="M931" t="str">
            <v>A</v>
          </cell>
          <cell r="N931" t="str">
            <v>W</v>
          </cell>
          <cell r="O931" t="str">
            <v>W</v>
          </cell>
          <cell r="P931" t="str">
            <v>R</v>
          </cell>
          <cell r="Q931" t="str">
            <v/>
          </cell>
          <cell r="R931" t="str">
            <v>-</v>
          </cell>
        </row>
        <row r="932">
          <cell r="A932">
            <v>1559208</v>
          </cell>
          <cell r="B932">
            <v>569</v>
          </cell>
          <cell r="C932">
            <v>58056</v>
          </cell>
          <cell r="D932" t="str">
            <v>235/40 R18</v>
          </cell>
          <cell r="E932">
            <v>95</v>
          </cell>
          <cell r="F932" t="str">
            <v>Y</v>
          </cell>
          <cell r="G932" t="str">
            <v>PREVENSYS XL</v>
          </cell>
          <cell r="H932">
            <v>1559208</v>
          </cell>
          <cell r="I932">
            <v>52569</v>
          </cell>
          <cell r="J932">
            <v>0</v>
          </cell>
          <cell r="K932" t="str">
            <v>P4</v>
          </cell>
          <cell r="L932" t="str">
            <v>ARRR</v>
          </cell>
          <cell r="M932" t="str">
            <v>A</v>
          </cell>
          <cell r="N932" t="str">
            <v>R</v>
          </cell>
          <cell r="O932" t="str">
            <v>R</v>
          </cell>
          <cell r="P932" t="str">
            <v>R</v>
          </cell>
          <cell r="Q932" t="str">
            <v/>
          </cell>
          <cell r="R932" t="str">
            <v>-</v>
          </cell>
        </row>
        <row r="933">
          <cell r="A933">
            <v>1559270</v>
          </cell>
          <cell r="B933" t="str">
            <v>-</v>
          </cell>
          <cell r="C933">
            <v>4149</v>
          </cell>
          <cell r="D933" t="str">
            <v>225/55 R18</v>
          </cell>
          <cell r="E933">
            <v>98</v>
          </cell>
          <cell r="F933" t="str">
            <v>V</v>
          </cell>
          <cell r="G933" t="str">
            <v>SPIRIT PRO</v>
          </cell>
          <cell r="H933">
            <v>1559270</v>
          </cell>
          <cell r="I933">
            <v>52424</v>
          </cell>
          <cell r="J933">
            <v>0</v>
          </cell>
          <cell r="K933" t="str">
            <v>P4</v>
          </cell>
          <cell r="L933" t="str">
            <v>AAOYA</v>
          </cell>
          <cell r="M933" t="str">
            <v>A</v>
          </cell>
          <cell r="N933" t="str">
            <v>A</v>
          </cell>
          <cell r="O933" t="str">
            <v>O</v>
          </cell>
          <cell r="P933" t="str">
            <v>Y</v>
          </cell>
          <cell r="Q933" t="str">
            <v>A</v>
          </cell>
          <cell r="R933" t="str">
            <v>-</v>
          </cell>
        </row>
        <row r="934">
          <cell r="A934">
            <v>1559279</v>
          </cell>
          <cell r="B934">
            <v>308</v>
          </cell>
          <cell r="C934">
            <v>36</v>
          </cell>
          <cell r="D934" t="str">
            <v>215/40 R17</v>
          </cell>
          <cell r="E934">
            <v>87</v>
          </cell>
          <cell r="F934" t="str">
            <v>Y</v>
          </cell>
          <cell r="G934" t="str">
            <v>PERFORMANCE 2 XL</v>
          </cell>
          <cell r="H934">
            <v>1559279</v>
          </cell>
          <cell r="I934">
            <v>52650</v>
          </cell>
          <cell r="J934">
            <v>0</v>
          </cell>
          <cell r="K934" t="str">
            <v>P4</v>
          </cell>
          <cell r="L934" t="str">
            <v>YOGW</v>
          </cell>
          <cell r="M934" t="str">
            <v>Y</v>
          </cell>
          <cell r="N934" t="str">
            <v>O</v>
          </cell>
          <cell r="O934" t="str">
            <v>G</v>
          </cell>
          <cell r="P934" t="str">
            <v>W</v>
          </cell>
          <cell r="Q934" t="str">
            <v/>
          </cell>
          <cell r="R934" t="str">
            <v>-</v>
          </cell>
        </row>
        <row r="935">
          <cell r="A935">
            <v>1559284</v>
          </cell>
          <cell r="B935" t="str">
            <v>-</v>
          </cell>
          <cell r="C935">
            <v>4283</v>
          </cell>
          <cell r="D935" t="str">
            <v>225/45 R17</v>
          </cell>
          <cell r="E935">
            <v>94</v>
          </cell>
          <cell r="F935" t="str">
            <v>Y</v>
          </cell>
          <cell r="G935" t="str">
            <v>PERFORMANCE 2 XL</v>
          </cell>
          <cell r="H935">
            <v>1559284</v>
          </cell>
          <cell r="I935">
            <v>52297</v>
          </cell>
          <cell r="J935">
            <v>0</v>
          </cell>
          <cell r="K935" t="str">
            <v>P4</v>
          </cell>
          <cell r="L935" t="str">
            <v>GRRWW</v>
          </cell>
          <cell r="M935" t="str">
            <v>G</v>
          </cell>
          <cell r="N935" t="str">
            <v>R</v>
          </cell>
          <cell r="O935" t="str">
            <v>R</v>
          </cell>
          <cell r="P935" t="str">
            <v>W</v>
          </cell>
          <cell r="Q935" t="str">
            <v>W</v>
          </cell>
          <cell r="R935" t="str">
            <v>-</v>
          </cell>
        </row>
        <row r="936">
          <cell r="A936">
            <v>1559288</v>
          </cell>
          <cell r="B936">
            <v>854</v>
          </cell>
          <cell r="C936">
            <v>2002</v>
          </cell>
          <cell r="D936" t="str">
            <v>225/55 R18</v>
          </cell>
          <cell r="E936">
            <v>98</v>
          </cell>
          <cell r="F936" t="str">
            <v>V</v>
          </cell>
          <cell r="G936" t="str">
            <v>PERFORMANCE 2</v>
          </cell>
          <cell r="H936">
            <v>1559288</v>
          </cell>
          <cell r="I936">
            <v>52054</v>
          </cell>
          <cell r="J936">
            <v>0</v>
          </cell>
          <cell r="K936" t="str">
            <v>P4</v>
          </cell>
          <cell r="L936" t="str">
            <v>WOG</v>
          </cell>
          <cell r="M936" t="str">
            <v>W</v>
          </cell>
          <cell r="N936" t="str">
            <v>O</v>
          </cell>
          <cell r="O936" t="str">
            <v>G</v>
          </cell>
          <cell r="P936" t="str">
            <v/>
          </cell>
          <cell r="Q936" t="str">
            <v/>
          </cell>
          <cell r="R936" t="str">
            <v>-</v>
          </cell>
        </row>
        <row r="937">
          <cell r="A937">
            <v>1559360</v>
          </cell>
          <cell r="B937" t="str">
            <v>-</v>
          </cell>
          <cell r="C937">
            <v>5063</v>
          </cell>
          <cell r="D937" t="str">
            <v>215/55 R18</v>
          </cell>
          <cell r="E937">
            <v>99</v>
          </cell>
          <cell r="F937" t="str">
            <v>V</v>
          </cell>
          <cell r="G937" t="str">
            <v>SUMMER 2 XL</v>
          </cell>
          <cell r="H937">
            <v>1559360</v>
          </cell>
          <cell r="I937">
            <v>52536</v>
          </cell>
          <cell r="J937">
            <v>0</v>
          </cell>
          <cell r="K937" t="str">
            <v>P2</v>
          </cell>
          <cell r="L937" t="str">
            <v>RRWWR</v>
          </cell>
          <cell r="M937" t="str">
            <v>R</v>
          </cell>
          <cell r="N937" t="str">
            <v>R</v>
          </cell>
          <cell r="O937" t="str">
            <v>W</v>
          </cell>
          <cell r="P937" t="str">
            <v>W</v>
          </cell>
          <cell r="Q937" t="str">
            <v>R</v>
          </cell>
          <cell r="R937" t="str">
            <v>-</v>
          </cell>
        </row>
        <row r="938">
          <cell r="A938">
            <v>1559363</v>
          </cell>
          <cell r="B938" t="str">
            <v>-</v>
          </cell>
          <cell r="C938">
            <v>4052</v>
          </cell>
          <cell r="D938" t="str">
            <v>225/45 R17</v>
          </cell>
          <cell r="E938">
            <v>91</v>
          </cell>
          <cell r="F938" t="str">
            <v>Y</v>
          </cell>
          <cell r="G938" t="str">
            <v>SUMMER 2</v>
          </cell>
          <cell r="H938">
            <v>1559363</v>
          </cell>
          <cell r="I938">
            <v>52254</v>
          </cell>
          <cell r="J938">
            <v>0</v>
          </cell>
          <cell r="K938" t="str">
            <v>P0</v>
          </cell>
          <cell r="L938" t="str">
            <v>GAOO</v>
          </cell>
          <cell r="M938" t="str">
            <v>G</v>
          </cell>
          <cell r="N938" t="str">
            <v>A</v>
          </cell>
          <cell r="O938" t="str">
            <v>O</v>
          </cell>
          <cell r="P938" t="str">
            <v>O</v>
          </cell>
          <cell r="Q938" t="str">
            <v/>
          </cell>
          <cell r="R938" t="str">
            <v>-</v>
          </cell>
        </row>
        <row r="939">
          <cell r="A939">
            <v>1559364</v>
          </cell>
          <cell r="B939" t="str">
            <v>-</v>
          </cell>
          <cell r="C939">
            <v>4152</v>
          </cell>
          <cell r="D939" t="str">
            <v>225/45 R17</v>
          </cell>
          <cell r="E939">
            <v>94</v>
          </cell>
          <cell r="F939" t="str">
            <v>Y</v>
          </cell>
          <cell r="G939" t="str">
            <v>SUMMER 2</v>
          </cell>
          <cell r="H939">
            <v>1559364</v>
          </cell>
          <cell r="I939">
            <v>52256</v>
          </cell>
          <cell r="J939">
            <v>0</v>
          </cell>
          <cell r="K939" t="str">
            <v>P0</v>
          </cell>
          <cell r="L939" t="str">
            <v>GARA</v>
          </cell>
          <cell r="M939" t="str">
            <v>G</v>
          </cell>
          <cell r="N939" t="str">
            <v>A</v>
          </cell>
          <cell r="O939" t="str">
            <v>R</v>
          </cell>
          <cell r="P939" t="str">
            <v>A</v>
          </cell>
          <cell r="Q939" t="str">
            <v/>
          </cell>
          <cell r="R939" t="str">
            <v>-</v>
          </cell>
        </row>
        <row r="940">
          <cell r="A940">
            <v>1559368</v>
          </cell>
          <cell r="B940" t="str">
            <v>-</v>
          </cell>
          <cell r="C940">
            <v>4067</v>
          </cell>
          <cell r="D940" t="str">
            <v>235/45 R18</v>
          </cell>
          <cell r="E940">
            <v>98</v>
          </cell>
          <cell r="F940" t="str">
            <v>Y</v>
          </cell>
          <cell r="G940" t="str">
            <v>BESTDRIVE SUMMER 2 XL</v>
          </cell>
          <cell r="H940">
            <v>1559368</v>
          </cell>
          <cell r="I940">
            <v>52632</v>
          </cell>
          <cell r="J940">
            <v>0</v>
          </cell>
          <cell r="K940" t="str">
            <v>P0</v>
          </cell>
          <cell r="L940" t="str">
            <v>RRRRW</v>
          </cell>
          <cell r="M940" t="str">
            <v>R</v>
          </cell>
          <cell r="N940" t="str">
            <v>R</v>
          </cell>
          <cell r="O940" t="str">
            <v>R</v>
          </cell>
          <cell r="P940" t="str">
            <v>R</v>
          </cell>
          <cell r="Q940" t="str">
            <v>W</v>
          </cell>
          <cell r="R940" t="str">
            <v>-</v>
          </cell>
        </row>
        <row r="941">
          <cell r="A941">
            <v>1559369</v>
          </cell>
          <cell r="B941" t="str">
            <v>-</v>
          </cell>
          <cell r="C941">
            <v>5081</v>
          </cell>
          <cell r="D941" t="str">
            <v>235/50 R18</v>
          </cell>
          <cell r="E941">
            <v>101</v>
          </cell>
          <cell r="F941" t="str">
            <v>Y</v>
          </cell>
          <cell r="G941" t="str">
            <v>SUMMER 2 XL</v>
          </cell>
          <cell r="H941">
            <v>1559369</v>
          </cell>
          <cell r="I941">
            <v>52922</v>
          </cell>
          <cell r="J941">
            <v>0</v>
          </cell>
          <cell r="K941" t="str">
            <v>P2</v>
          </cell>
          <cell r="L941" t="str">
            <v>RWWAA</v>
          </cell>
          <cell r="M941" t="str">
            <v>R</v>
          </cell>
          <cell r="N941" t="str">
            <v>W</v>
          </cell>
          <cell r="O941" t="str">
            <v>W</v>
          </cell>
          <cell r="P941" t="str">
            <v>A</v>
          </cell>
          <cell r="Q941" t="str">
            <v>A</v>
          </cell>
          <cell r="R941" t="str">
            <v>-</v>
          </cell>
        </row>
        <row r="942">
          <cell r="A942">
            <v>1559370</v>
          </cell>
          <cell r="B942" t="str">
            <v>-</v>
          </cell>
          <cell r="C942">
            <v>6173</v>
          </cell>
          <cell r="D942" t="str">
            <v>235/55 R18</v>
          </cell>
          <cell r="E942">
            <v>104</v>
          </cell>
          <cell r="F942" t="str">
            <v>V</v>
          </cell>
          <cell r="G942" t="str">
            <v>BESTDRIVE SUMMER 2 XL</v>
          </cell>
          <cell r="H942">
            <v>1559370</v>
          </cell>
          <cell r="I942">
            <v>52753</v>
          </cell>
          <cell r="J942">
            <v>0</v>
          </cell>
          <cell r="K942" t="str">
            <v>P0</v>
          </cell>
          <cell r="L942" t="str">
            <v>AAAYY</v>
          </cell>
          <cell r="M942" t="str">
            <v>A</v>
          </cell>
          <cell r="N942" t="str">
            <v>A</v>
          </cell>
          <cell r="O942" t="str">
            <v>A</v>
          </cell>
          <cell r="P942" t="str">
            <v>Y</v>
          </cell>
          <cell r="Q942" t="str">
            <v>Y</v>
          </cell>
          <cell r="R942" t="str">
            <v>-</v>
          </cell>
        </row>
        <row r="943">
          <cell r="A943">
            <v>1559376</v>
          </cell>
          <cell r="B943" t="str">
            <v>-</v>
          </cell>
          <cell r="C943">
            <v>58013</v>
          </cell>
          <cell r="D943" t="str">
            <v>255/35 R19</v>
          </cell>
          <cell r="E943">
            <v>96</v>
          </cell>
          <cell r="F943" t="str">
            <v>Y</v>
          </cell>
          <cell r="G943" t="str">
            <v>BESTDRIVE 2 XL</v>
          </cell>
          <cell r="H943">
            <v>1559376</v>
          </cell>
          <cell r="I943">
            <v>52127</v>
          </cell>
          <cell r="J943">
            <v>0</v>
          </cell>
          <cell r="K943" t="str">
            <v>P2</v>
          </cell>
          <cell r="L943" t="str">
            <v>GGGGW</v>
          </cell>
          <cell r="M943" t="str">
            <v>G</v>
          </cell>
          <cell r="N943" t="str">
            <v>G</v>
          </cell>
          <cell r="O943" t="str">
            <v>G</v>
          </cell>
          <cell r="P943" t="str">
            <v>G</v>
          </cell>
          <cell r="Q943" t="str">
            <v>W</v>
          </cell>
          <cell r="R943" t="str">
            <v>-</v>
          </cell>
        </row>
        <row r="944">
          <cell r="A944">
            <v>1559383</v>
          </cell>
          <cell r="B944" t="str">
            <v>-</v>
          </cell>
          <cell r="C944">
            <v>6073</v>
          </cell>
          <cell r="D944" t="str">
            <v>235/55 R18</v>
          </cell>
          <cell r="E944">
            <v>100</v>
          </cell>
          <cell r="F944" t="str">
            <v>V</v>
          </cell>
          <cell r="G944" t="str">
            <v>SUMMER SUMMER S</v>
          </cell>
          <cell r="H944">
            <v>1559383</v>
          </cell>
          <cell r="I944">
            <v>52752</v>
          </cell>
          <cell r="J944">
            <v>0</v>
          </cell>
          <cell r="K944" t="str">
            <v>P0</v>
          </cell>
          <cell r="L944" t="str">
            <v>AAAWW</v>
          </cell>
          <cell r="M944" t="str">
            <v>A</v>
          </cell>
          <cell r="N944" t="str">
            <v>A</v>
          </cell>
          <cell r="O944" t="str">
            <v>A</v>
          </cell>
          <cell r="P944" t="str">
            <v>W</v>
          </cell>
          <cell r="Q944" t="str">
            <v>W</v>
          </cell>
          <cell r="R944" t="str">
            <v>-</v>
          </cell>
        </row>
        <row r="945">
          <cell r="A945">
            <v>1559397</v>
          </cell>
          <cell r="B945" t="str">
            <v>-</v>
          </cell>
          <cell r="C945">
            <v>2435</v>
          </cell>
          <cell r="D945" t="str">
            <v>235/50 R18</v>
          </cell>
          <cell r="E945">
            <v>97</v>
          </cell>
          <cell r="F945" t="str">
            <v>V</v>
          </cell>
          <cell r="G945" t="str">
            <v>SPORTIVA PERF</v>
          </cell>
          <cell r="H945">
            <v>1559397</v>
          </cell>
          <cell r="I945">
            <v>52300</v>
          </cell>
          <cell r="J945">
            <v>0</v>
          </cell>
          <cell r="K945" t="str">
            <v>P4</v>
          </cell>
          <cell r="L945" t="str">
            <v>YYYYO</v>
          </cell>
          <cell r="M945" t="str">
            <v>Y</v>
          </cell>
          <cell r="N945" t="str">
            <v>Y</v>
          </cell>
          <cell r="O945" t="str">
            <v>Y</v>
          </cell>
          <cell r="P945" t="str">
            <v>Y</v>
          </cell>
          <cell r="Q945" t="str">
            <v>O</v>
          </cell>
          <cell r="R945" t="str">
            <v>-</v>
          </cell>
        </row>
        <row r="946">
          <cell r="A946">
            <v>1559402</v>
          </cell>
          <cell r="B946" t="str">
            <v>-</v>
          </cell>
          <cell r="C946">
            <v>3154</v>
          </cell>
          <cell r="D946" t="str">
            <v>205/45 R16</v>
          </cell>
          <cell r="E946">
            <v>87</v>
          </cell>
          <cell r="F946" t="str">
            <v>W</v>
          </cell>
          <cell r="G946" t="str">
            <v>SPORTIVA PERF XL</v>
          </cell>
          <cell r="H946">
            <v>1559402</v>
          </cell>
          <cell r="I946">
            <v>52604</v>
          </cell>
          <cell r="J946">
            <v>0</v>
          </cell>
          <cell r="K946" t="str">
            <v>P4</v>
          </cell>
          <cell r="L946" t="str">
            <v>RYA</v>
          </cell>
          <cell r="M946" t="str">
            <v>R</v>
          </cell>
          <cell r="N946" t="str">
            <v>Y</v>
          </cell>
          <cell r="O946" t="str">
            <v>A</v>
          </cell>
          <cell r="P946" t="str">
            <v/>
          </cell>
          <cell r="Q946" t="str">
            <v/>
          </cell>
          <cell r="R946" t="str">
            <v>-</v>
          </cell>
        </row>
        <row r="947">
          <cell r="A947">
            <v>1559581</v>
          </cell>
          <cell r="B947" t="str">
            <v>-</v>
          </cell>
          <cell r="C947">
            <v>3087</v>
          </cell>
          <cell r="D947" t="str">
            <v>215/60 R17</v>
          </cell>
          <cell r="E947">
            <v>96</v>
          </cell>
          <cell r="F947" t="str">
            <v>V</v>
          </cell>
          <cell r="G947" t="str">
            <v>SUMMER 2</v>
          </cell>
          <cell r="H947">
            <v>1559581</v>
          </cell>
          <cell r="I947">
            <v>52204</v>
          </cell>
          <cell r="J947">
            <v>0</v>
          </cell>
          <cell r="K947" t="str">
            <v>P0</v>
          </cell>
          <cell r="L947" t="str">
            <v>OYYW</v>
          </cell>
          <cell r="M947" t="str">
            <v>O</v>
          </cell>
          <cell r="N947" t="str">
            <v>Y</v>
          </cell>
          <cell r="O947" t="str">
            <v>Y</v>
          </cell>
          <cell r="P947" t="str">
            <v>W</v>
          </cell>
          <cell r="Q947" t="str">
            <v/>
          </cell>
          <cell r="R947" t="str">
            <v>-</v>
          </cell>
        </row>
        <row r="948">
          <cell r="A948">
            <v>1559588</v>
          </cell>
          <cell r="B948" t="str">
            <v>-</v>
          </cell>
          <cell r="C948">
            <v>4062</v>
          </cell>
          <cell r="D948" t="str">
            <v>225/55 R18</v>
          </cell>
          <cell r="E948">
            <v>98</v>
          </cell>
          <cell r="F948" t="str">
            <v>V</v>
          </cell>
          <cell r="G948" t="str">
            <v>SUMMER 2</v>
          </cell>
          <cell r="H948">
            <v>1559588</v>
          </cell>
          <cell r="I948">
            <v>52748</v>
          </cell>
          <cell r="J948">
            <v>0</v>
          </cell>
          <cell r="K948" t="str">
            <v>P2</v>
          </cell>
          <cell r="L948" t="str">
            <v>ORAOW</v>
          </cell>
          <cell r="M948" t="str">
            <v>O</v>
          </cell>
          <cell r="N948" t="str">
            <v>R</v>
          </cell>
          <cell r="O948" t="str">
            <v>A</v>
          </cell>
          <cell r="P948" t="str">
            <v>O</v>
          </cell>
          <cell r="Q948" t="str">
            <v>W</v>
          </cell>
          <cell r="R948" t="str">
            <v>-</v>
          </cell>
        </row>
        <row r="949">
          <cell r="A949">
            <v>1559591</v>
          </cell>
          <cell r="B949" t="str">
            <v>-</v>
          </cell>
          <cell r="C949">
            <v>6065</v>
          </cell>
          <cell r="D949" t="str">
            <v>235/50 R19</v>
          </cell>
          <cell r="E949">
            <v>103</v>
          </cell>
          <cell r="F949" t="str">
            <v>V</v>
          </cell>
          <cell r="G949" t="str">
            <v>SUMMER 2 XL</v>
          </cell>
          <cell r="H949">
            <v>1559591</v>
          </cell>
          <cell r="I949">
            <v>52465</v>
          </cell>
          <cell r="J949">
            <v>0</v>
          </cell>
          <cell r="K949" t="str">
            <v>P2</v>
          </cell>
          <cell r="L949" t="str">
            <v>RRRWA</v>
          </cell>
          <cell r="M949" t="str">
            <v>R</v>
          </cell>
          <cell r="N949" t="str">
            <v>R</v>
          </cell>
          <cell r="O949" t="str">
            <v>R</v>
          </cell>
          <cell r="P949" t="str">
            <v>W</v>
          </cell>
          <cell r="Q949" t="str">
            <v>A</v>
          </cell>
          <cell r="R949" t="str">
            <v>-</v>
          </cell>
        </row>
        <row r="950">
          <cell r="A950">
            <v>1562052</v>
          </cell>
          <cell r="B950">
            <v>561</v>
          </cell>
          <cell r="C950">
            <v>3095</v>
          </cell>
          <cell r="D950" t="str">
            <v>165/65 R15</v>
          </cell>
          <cell r="E950">
            <v>81</v>
          </cell>
          <cell r="F950" t="str">
            <v>T</v>
          </cell>
          <cell r="G950" t="str">
            <v>CITYTECH 2</v>
          </cell>
          <cell r="H950">
            <v>1562052</v>
          </cell>
          <cell r="I950">
            <v>52461</v>
          </cell>
          <cell r="J950">
            <v>0</v>
          </cell>
          <cell r="K950" t="str">
            <v>P8</v>
          </cell>
          <cell r="L950" t="str">
            <v>RY</v>
          </cell>
          <cell r="M950" t="str">
            <v>R</v>
          </cell>
          <cell r="N950" t="str">
            <v>Y</v>
          </cell>
          <cell r="O950" t="str">
            <v/>
          </cell>
          <cell r="P950" t="str">
            <v/>
          </cell>
          <cell r="Q950" t="str">
            <v/>
          </cell>
          <cell r="R950" t="str">
            <v>-</v>
          </cell>
        </row>
        <row r="951">
          <cell r="A951">
            <v>1562269</v>
          </cell>
          <cell r="B951" t="str">
            <v>-</v>
          </cell>
          <cell r="C951">
            <v>58022</v>
          </cell>
          <cell r="D951" t="str">
            <v>215/40 R17</v>
          </cell>
          <cell r="E951">
            <v>87</v>
          </cell>
          <cell r="F951" t="str">
            <v>Y</v>
          </cell>
          <cell r="G951" t="str">
            <v>PROTECH NEWGEN XL</v>
          </cell>
          <cell r="H951">
            <v>1562269</v>
          </cell>
          <cell r="I951">
            <v>52059</v>
          </cell>
          <cell r="J951">
            <v>0</v>
          </cell>
          <cell r="K951" t="str">
            <v>P0</v>
          </cell>
          <cell r="L951" t="str">
            <v>AAAGW</v>
          </cell>
          <cell r="M951" t="str">
            <v>A</v>
          </cell>
          <cell r="N951" t="str">
            <v>A</v>
          </cell>
          <cell r="O951" t="str">
            <v>A</v>
          </cell>
          <cell r="P951" t="str">
            <v>G</v>
          </cell>
          <cell r="Q951" t="str">
            <v>W</v>
          </cell>
          <cell r="R951" t="str">
            <v>-</v>
          </cell>
        </row>
        <row r="952">
          <cell r="A952">
            <v>1562375</v>
          </cell>
          <cell r="B952">
            <v>70</v>
          </cell>
          <cell r="C952">
            <v>5186</v>
          </cell>
          <cell r="D952" t="str">
            <v>195/45 R16</v>
          </cell>
          <cell r="E952">
            <v>84</v>
          </cell>
          <cell r="F952" t="str">
            <v>V</v>
          </cell>
          <cell r="G952" t="str">
            <v>PROTECH NEWGEN XL</v>
          </cell>
          <cell r="H952">
            <v>1562375</v>
          </cell>
          <cell r="I952">
            <v>52070</v>
          </cell>
          <cell r="J952">
            <v>0</v>
          </cell>
          <cell r="K952" t="str">
            <v>P8</v>
          </cell>
          <cell r="L952" t="str">
            <v>AAGGY</v>
          </cell>
          <cell r="M952" t="str">
            <v>A</v>
          </cell>
          <cell r="N952" t="str">
            <v>A</v>
          </cell>
          <cell r="O952" t="str">
            <v>G</v>
          </cell>
          <cell r="P952" t="str">
            <v>G</v>
          </cell>
          <cell r="Q952" t="str">
            <v>Y</v>
          </cell>
          <cell r="R952" t="str">
            <v>-</v>
          </cell>
        </row>
        <row r="953">
          <cell r="A953">
            <v>1562389</v>
          </cell>
          <cell r="B953">
            <v>838</v>
          </cell>
          <cell r="C953">
            <v>5037</v>
          </cell>
          <cell r="D953" t="str">
            <v>215/45 R17</v>
          </cell>
          <cell r="E953">
            <v>91</v>
          </cell>
          <cell r="F953" t="str">
            <v>Y</v>
          </cell>
          <cell r="G953" t="str">
            <v>PROTECH NEWGEN XL</v>
          </cell>
          <cell r="H953">
            <v>1562389</v>
          </cell>
          <cell r="I953">
            <v>52638</v>
          </cell>
          <cell r="J953">
            <v>0</v>
          </cell>
          <cell r="K953" t="str">
            <v>P4</v>
          </cell>
          <cell r="L953" t="str">
            <v>AAYRR</v>
          </cell>
          <cell r="M953" t="str">
            <v>A</v>
          </cell>
          <cell r="N953" t="str">
            <v>A</v>
          </cell>
          <cell r="O953" t="str">
            <v>Y</v>
          </cell>
          <cell r="P953" t="str">
            <v>R</v>
          </cell>
          <cell r="Q953" t="str">
            <v>R</v>
          </cell>
          <cell r="R953" t="str">
            <v>-</v>
          </cell>
        </row>
        <row r="954">
          <cell r="A954">
            <v>1562390</v>
          </cell>
          <cell r="B954">
            <v>886</v>
          </cell>
          <cell r="C954">
            <v>5165</v>
          </cell>
          <cell r="D954" t="str">
            <v>215/50 R17</v>
          </cell>
          <cell r="E954">
            <v>95</v>
          </cell>
          <cell r="F954" t="str">
            <v>Y</v>
          </cell>
          <cell r="G954" t="str">
            <v>PROTECH NEWGEN XL</v>
          </cell>
          <cell r="H954">
            <v>1562390</v>
          </cell>
          <cell r="I954">
            <v>52786</v>
          </cell>
          <cell r="J954">
            <v>0</v>
          </cell>
          <cell r="K954" t="str">
            <v>P4</v>
          </cell>
          <cell r="L954" t="str">
            <v>AGAO</v>
          </cell>
          <cell r="M954" t="str">
            <v>A</v>
          </cell>
          <cell r="N954" t="str">
            <v>G</v>
          </cell>
          <cell r="O954" t="str">
            <v>A</v>
          </cell>
          <cell r="P954" t="str">
            <v>O</v>
          </cell>
          <cell r="Q954" t="str">
            <v/>
          </cell>
          <cell r="R954" t="str">
            <v>-</v>
          </cell>
        </row>
        <row r="955">
          <cell r="A955">
            <v>1562393</v>
          </cell>
          <cell r="B955" t="str">
            <v>-</v>
          </cell>
          <cell r="C955">
            <v>5396</v>
          </cell>
          <cell r="D955" t="str">
            <v>215/55 R18</v>
          </cell>
          <cell r="E955">
            <v>99</v>
          </cell>
          <cell r="F955" t="str">
            <v>V</v>
          </cell>
          <cell r="G955" t="str">
            <v>PROTECH NEWGEN XL</v>
          </cell>
          <cell r="H955">
            <v>1562393</v>
          </cell>
          <cell r="I955">
            <v>52481</v>
          </cell>
          <cell r="J955">
            <v>0</v>
          </cell>
          <cell r="K955" t="str">
            <v>P4</v>
          </cell>
          <cell r="L955" t="str">
            <v>AYYYY</v>
          </cell>
          <cell r="M955" t="str">
            <v>A</v>
          </cell>
          <cell r="N955" t="str">
            <v>Y</v>
          </cell>
          <cell r="O955" t="str">
            <v>Y</v>
          </cell>
          <cell r="P955" t="str">
            <v>Y</v>
          </cell>
          <cell r="Q955" t="str">
            <v>Y</v>
          </cell>
          <cell r="R955" t="str">
            <v>-</v>
          </cell>
        </row>
        <row r="956">
          <cell r="A956">
            <v>1562395</v>
          </cell>
          <cell r="B956">
            <v>834</v>
          </cell>
          <cell r="C956">
            <v>4139</v>
          </cell>
          <cell r="D956" t="str">
            <v>215/60 R17</v>
          </cell>
          <cell r="E956">
            <v>96</v>
          </cell>
          <cell r="F956" t="str">
            <v>V</v>
          </cell>
          <cell r="G956" t="str">
            <v>PROTECH NEWGEN</v>
          </cell>
          <cell r="H956">
            <v>1562395</v>
          </cell>
          <cell r="I956">
            <v>52634</v>
          </cell>
          <cell r="J956">
            <v>0</v>
          </cell>
          <cell r="K956" t="str">
            <v>P4</v>
          </cell>
          <cell r="L956" t="str">
            <v>RRYGG</v>
          </cell>
          <cell r="M956" t="str">
            <v>R</v>
          </cell>
          <cell r="N956" t="str">
            <v>R</v>
          </cell>
          <cell r="O956" t="str">
            <v>Y</v>
          </cell>
          <cell r="P956" t="str">
            <v>G</v>
          </cell>
          <cell r="Q956" t="str">
            <v>G</v>
          </cell>
          <cell r="R956" t="str">
            <v>-</v>
          </cell>
        </row>
        <row r="957">
          <cell r="A957">
            <v>1562403</v>
          </cell>
          <cell r="B957" t="str">
            <v>-</v>
          </cell>
          <cell r="C957">
            <v>2066</v>
          </cell>
          <cell r="D957" t="str">
            <v>225/45 R17</v>
          </cell>
          <cell r="E957">
            <v>94</v>
          </cell>
          <cell r="F957" t="str">
            <v>Y</v>
          </cell>
          <cell r="G957" t="str">
            <v>PROTECH NEWGEN XL</v>
          </cell>
          <cell r="H957">
            <v>1562403</v>
          </cell>
          <cell r="I957">
            <v>52328</v>
          </cell>
          <cell r="J957">
            <v>0</v>
          </cell>
          <cell r="K957" t="str">
            <v>P4</v>
          </cell>
          <cell r="L957" t="str">
            <v>YYGOG</v>
          </cell>
          <cell r="M957" t="str">
            <v>Y</v>
          </cell>
          <cell r="N957" t="str">
            <v>Y</v>
          </cell>
          <cell r="O957" t="str">
            <v>G</v>
          </cell>
          <cell r="P957" t="str">
            <v>O</v>
          </cell>
          <cell r="Q957" t="str">
            <v>G</v>
          </cell>
          <cell r="R957" t="str">
            <v>-</v>
          </cell>
        </row>
        <row r="958">
          <cell r="A958">
            <v>1562407</v>
          </cell>
          <cell r="B958">
            <v>854</v>
          </cell>
          <cell r="C958">
            <v>2002</v>
          </cell>
          <cell r="D958" t="str">
            <v>225/55 R18</v>
          </cell>
          <cell r="E958">
            <v>98</v>
          </cell>
          <cell r="F958" t="str">
            <v>V</v>
          </cell>
          <cell r="G958" t="str">
            <v>PROTECH NEWGEN</v>
          </cell>
          <cell r="H958">
            <v>1562407</v>
          </cell>
          <cell r="I958">
            <v>52054</v>
          </cell>
          <cell r="J958">
            <v>0</v>
          </cell>
          <cell r="K958" t="str">
            <v>P4</v>
          </cell>
          <cell r="L958" t="str">
            <v>WOG</v>
          </cell>
          <cell r="M958" t="str">
            <v>W</v>
          </cell>
          <cell r="N958" t="str">
            <v>O</v>
          </cell>
          <cell r="O958" t="str">
            <v>G</v>
          </cell>
          <cell r="P958" t="str">
            <v/>
          </cell>
          <cell r="Q958" t="str">
            <v/>
          </cell>
          <cell r="R958" t="str">
            <v>-</v>
          </cell>
        </row>
        <row r="959">
          <cell r="A959">
            <v>1562409</v>
          </cell>
          <cell r="B959">
            <v>564</v>
          </cell>
          <cell r="C959">
            <v>58054</v>
          </cell>
          <cell r="D959" t="str">
            <v>235/40 R18</v>
          </cell>
          <cell r="E959">
            <v>95</v>
          </cell>
          <cell r="F959" t="str">
            <v>Y</v>
          </cell>
          <cell r="G959" t="str">
            <v>PROTECH NEWGEN XL</v>
          </cell>
          <cell r="H959">
            <v>1562409</v>
          </cell>
          <cell r="I959">
            <v>52562</v>
          </cell>
          <cell r="J959">
            <v>0</v>
          </cell>
          <cell r="K959" t="str">
            <v>P4</v>
          </cell>
          <cell r="L959" t="str">
            <v>YYYR</v>
          </cell>
          <cell r="M959" t="str">
            <v>Y</v>
          </cell>
          <cell r="N959" t="str">
            <v>Y</v>
          </cell>
          <cell r="O959" t="str">
            <v>Y</v>
          </cell>
          <cell r="P959" t="str">
            <v>R</v>
          </cell>
          <cell r="Q959" t="str">
            <v/>
          </cell>
          <cell r="R959" t="str">
            <v>-</v>
          </cell>
        </row>
        <row r="960">
          <cell r="A960">
            <v>1562415</v>
          </cell>
          <cell r="B960" t="str">
            <v>-</v>
          </cell>
          <cell r="C960">
            <v>5098</v>
          </cell>
          <cell r="D960" t="str">
            <v>235/45 R18</v>
          </cell>
          <cell r="E960">
            <v>98</v>
          </cell>
          <cell r="F960" t="str">
            <v>Y</v>
          </cell>
          <cell r="G960" t="str">
            <v>PROTECH NEWGEN XL</v>
          </cell>
          <cell r="H960">
            <v>1562415</v>
          </cell>
          <cell r="I960">
            <v>52926</v>
          </cell>
          <cell r="J960">
            <v>0</v>
          </cell>
          <cell r="K960" t="str">
            <v>P0</v>
          </cell>
          <cell r="L960" t="str">
            <v>AAWWR</v>
          </cell>
          <cell r="M960" t="str">
            <v>A</v>
          </cell>
          <cell r="N960" t="str">
            <v>A</v>
          </cell>
          <cell r="O960" t="str">
            <v>W</v>
          </cell>
          <cell r="P960" t="str">
            <v>W</v>
          </cell>
          <cell r="Q960" t="str">
            <v>R</v>
          </cell>
          <cell r="R960" t="str">
            <v>-</v>
          </cell>
        </row>
        <row r="961">
          <cell r="A961">
            <v>1562416</v>
          </cell>
          <cell r="B961">
            <v>233</v>
          </cell>
          <cell r="C961">
            <v>2073</v>
          </cell>
          <cell r="D961" t="str">
            <v>235/55 R18</v>
          </cell>
          <cell r="E961">
            <v>100</v>
          </cell>
          <cell r="F961" t="str">
            <v>V</v>
          </cell>
          <cell r="G961" t="str">
            <v>PROTECH NEWGEN</v>
          </cell>
          <cell r="H961">
            <v>1562416</v>
          </cell>
          <cell r="I961">
            <v>52023</v>
          </cell>
          <cell r="J961">
            <v>0</v>
          </cell>
          <cell r="K961" t="str">
            <v>P4</v>
          </cell>
          <cell r="L961" t="str">
            <v>YYRO</v>
          </cell>
          <cell r="M961" t="str">
            <v>Y</v>
          </cell>
          <cell r="N961" t="str">
            <v>Y</v>
          </cell>
          <cell r="O961" t="str">
            <v>R</v>
          </cell>
          <cell r="P961" t="str">
            <v>O</v>
          </cell>
          <cell r="Q961" t="str">
            <v/>
          </cell>
          <cell r="R961" t="str">
            <v>-</v>
          </cell>
        </row>
        <row r="962">
          <cell r="A962">
            <v>1562417</v>
          </cell>
          <cell r="B962" t="str">
            <v>-</v>
          </cell>
          <cell r="C962">
            <v>3092</v>
          </cell>
          <cell r="D962" t="str">
            <v>235/60 R18</v>
          </cell>
          <cell r="E962">
            <v>107</v>
          </cell>
          <cell r="F962" t="str">
            <v>W</v>
          </cell>
          <cell r="G962" t="str">
            <v>PROTECH NEWGEN XL</v>
          </cell>
          <cell r="H962">
            <v>1562417</v>
          </cell>
          <cell r="I962">
            <v>52499</v>
          </cell>
          <cell r="J962">
            <v>0</v>
          </cell>
          <cell r="K962" t="str">
            <v>P5</v>
          </cell>
          <cell r="L962" t="str">
            <v>AAGR</v>
          </cell>
          <cell r="M962" t="str">
            <v>A</v>
          </cell>
          <cell r="N962" t="str">
            <v>A</v>
          </cell>
          <cell r="O962" t="str">
            <v>G</v>
          </cell>
          <cell r="P962" t="str">
            <v>R</v>
          </cell>
          <cell r="Q962" t="str">
            <v/>
          </cell>
          <cell r="R962" t="str">
            <v>-</v>
          </cell>
        </row>
        <row r="963">
          <cell r="A963">
            <v>1562419</v>
          </cell>
          <cell r="B963">
            <v>495</v>
          </cell>
          <cell r="C963">
            <v>58011</v>
          </cell>
          <cell r="D963" t="str">
            <v>255/35 R19</v>
          </cell>
          <cell r="E963">
            <v>96</v>
          </cell>
          <cell r="F963" t="str">
            <v>Y</v>
          </cell>
          <cell r="G963" t="str">
            <v>PROTECH NEWGEN XL</v>
          </cell>
          <cell r="H963">
            <v>1562419</v>
          </cell>
          <cell r="I963">
            <v>52494</v>
          </cell>
          <cell r="J963">
            <v>0</v>
          </cell>
          <cell r="K963" t="str">
            <v>P0</v>
          </cell>
          <cell r="L963" t="str">
            <v>YYYYR</v>
          </cell>
          <cell r="M963" t="str">
            <v>Y</v>
          </cell>
          <cell r="N963" t="str">
            <v>Y</v>
          </cell>
          <cell r="O963" t="str">
            <v>Y</v>
          </cell>
          <cell r="P963" t="str">
            <v>Y</v>
          </cell>
          <cell r="Q963" t="str">
            <v>R</v>
          </cell>
          <cell r="R963" t="str">
            <v>-</v>
          </cell>
        </row>
        <row r="964">
          <cell r="A964">
            <v>1562433</v>
          </cell>
          <cell r="B964">
            <v>84</v>
          </cell>
          <cell r="C964">
            <v>5097</v>
          </cell>
          <cell r="D964" t="str">
            <v>195/50 R16</v>
          </cell>
          <cell r="E964">
            <v>88</v>
          </cell>
          <cell r="F964" t="str">
            <v>V</v>
          </cell>
          <cell r="G964" t="str">
            <v>PROTECH NEWGEN XL</v>
          </cell>
          <cell r="H964">
            <v>1562433</v>
          </cell>
          <cell r="I964">
            <v>52084</v>
          </cell>
          <cell r="J964">
            <v>0</v>
          </cell>
          <cell r="K964" t="str">
            <v>P8</v>
          </cell>
          <cell r="L964" t="str">
            <v>AWWY</v>
          </cell>
          <cell r="M964" t="str">
            <v>A</v>
          </cell>
          <cell r="N964" t="str">
            <v>W</v>
          </cell>
          <cell r="O964" t="str">
            <v>W</v>
          </cell>
          <cell r="P964" t="str">
            <v>Y</v>
          </cell>
          <cell r="Q964" t="str">
            <v/>
          </cell>
          <cell r="R964" t="str">
            <v>-</v>
          </cell>
        </row>
        <row r="965">
          <cell r="A965">
            <v>1562438</v>
          </cell>
          <cell r="B965" t="str">
            <v>-</v>
          </cell>
          <cell r="C965">
            <v>4091</v>
          </cell>
          <cell r="D965" t="str">
            <v>205/55 R17</v>
          </cell>
          <cell r="E965">
            <v>95</v>
          </cell>
          <cell r="F965" t="str">
            <v>V</v>
          </cell>
          <cell r="G965" t="str">
            <v>PROTECH NEWGEN XL</v>
          </cell>
          <cell r="H965">
            <v>1562438</v>
          </cell>
          <cell r="I965">
            <v>52720</v>
          </cell>
          <cell r="J965">
            <v>0</v>
          </cell>
          <cell r="K965" t="str">
            <v>P2</v>
          </cell>
          <cell r="L965" t="str">
            <v>YARGA</v>
          </cell>
          <cell r="M965" t="str">
            <v>Y</v>
          </cell>
          <cell r="N965" t="str">
            <v>A</v>
          </cell>
          <cell r="O965" t="str">
            <v>R</v>
          </cell>
          <cell r="P965" t="str">
            <v>G</v>
          </cell>
          <cell r="Q965" t="str">
            <v>A</v>
          </cell>
          <cell r="R965" t="str">
            <v>-</v>
          </cell>
        </row>
        <row r="966">
          <cell r="A966">
            <v>1562440</v>
          </cell>
          <cell r="B966">
            <v>552</v>
          </cell>
          <cell r="C966">
            <v>5237</v>
          </cell>
          <cell r="D966" t="str">
            <v>215/45 R16</v>
          </cell>
          <cell r="E966">
            <v>90</v>
          </cell>
          <cell r="F966" t="str">
            <v>V</v>
          </cell>
          <cell r="G966" t="str">
            <v>PROTECH NEWGEN XL</v>
          </cell>
          <cell r="H966">
            <v>1562440</v>
          </cell>
          <cell r="I966">
            <v>52551</v>
          </cell>
          <cell r="J966">
            <v>0</v>
          </cell>
          <cell r="K966" t="str">
            <v>-</v>
          </cell>
          <cell r="L966" t="str">
            <v>WYYRR</v>
          </cell>
          <cell r="M966" t="str">
            <v>W</v>
          </cell>
          <cell r="N966" t="str">
            <v>Y</v>
          </cell>
          <cell r="O966" t="str">
            <v>Y</v>
          </cell>
          <cell r="P966" t="str">
            <v>R</v>
          </cell>
          <cell r="Q966" t="str">
            <v>R</v>
          </cell>
          <cell r="R966" t="str">
            <v>-</v>
          </cell>
        </row>
        <row r="967">
          <cell r="A967">
            <v>1562446</v>
          </cell>
          <cell r="B967" t="str">
            <v>-</v>
          </cell>
          <cell r="C967">
            <v>6091</v>
          </cell>
          <cell r="D967" t="str">
            <v>225/60 R17</v>
          </cell>
          <cell r="E967">
            <v>99</v>
          </cell>
          <cell r="F967" t="str">
            <v>V</v>
          </cell>
          <cell r="G967" t="str">
            <v>PROTECH NEWGEN</v>
          </cell>
          <cell r="H967">
            <v>1562446</v>
          </cell>
          <cell r="I967">
            <v>52208</v>
          </cell>
          <cell r="J967">
            <v>0</v>
          </cell>
          <cell r="K967" t="str">
            <v>P4</v>
          </cell>
          <cell r="L967" t="str">
            <v>ARWAR</v>
          </cell>
          <cell r="M967" t="str">
            <v>A</v>
          </cell>
          <cell r="N967" t="str">
            <v>R</v>
          </cell>
          <cell r="O967" t="str">
            <v>W</v>
          </cell>
          <cell r="P967" t="str">
            <v>A</v>
          </cell>
          <cell r="Q967" t="str">
            <v>R</v>
          </cell>
          <cell r="R967" t="str">
            <v>-</v>
          </cell>
        </row>
        <row r="968">
          <cell r="A968">
            <v>1562449</v>
          </cell>
          <cell r="B968" t="str">
            <v>-</v>
          </cell>
          <cell r="C968">
            <v>2435</v>
          </cell>
          <cell r="D968" t="str">
            <v>235/50 R18</v>
          </cell>
          <cell r="E968">
            <v>97</v>
          </cell>
          <cell r="F968" t="str">
            <v>V</v>
          </cell>
          <cell r="G968" t="str">
            <v>PROTECH NEWGEN</v>
          </cell>
          <cell r="H968">
            <v>1562449</v>
          </cell>
          <cell r="I968">
            <v>52300</v>
          </cell>
          <cell r="J968">
            <v>0</v>
          </cell>
          <cell r="K968" t="str">
            <v>P4</v>
          </cell>
          <cell r="L968" t="str">
            <v>YYYYO</v>
          </cell>
          <cell r="M968" t="str">
            <v>Y</v>
          </cell>
          <cell r="N968" t="str">
            <v>Y</v>
          </cell>
          <cell r="O968" t="str">
            <v>Y</v>
          </cell>
          <cell r="P968" t="str">
            <v>Y</v>
          </cell>
          <cell r="Q968" t="str">
            <v>O</v>
          </cell>
          <cell r="R968" t="str">
            <v>-</v>
          </cell>
        </row>
        <row r="969">
          <cell r="A969">
            <v>1562450</v>
          </cell>
          <cell r="B969" t="str">
            <v>-</v>
          </cell>
          <cell r="C969">
            <v>73</v>
          </cell>
          <cell r="D969" t="str">
            <v>235/50 R19</v>
          </cell>
          <cell r="E969">
            <v>99</v>
          </cell>
          <cell r="F969" t="str">
            <v>V</v>
          </cell>
          <cell r="G969" t="str">
            <v>PROTECH NEWGEN</v>
          </cell>
          <cell r="H969">
            <v>1562450</v>
          </cell>
          <cell r="I969">
            <v>52090</v>
          </cell>
          <cell r="J969">
            <v>0</v>
          </cell>
          <cell r="K969" t="str">
            <v>P4</v>
          </cell>
          <cell r="L969" t="str">
            <v>AAAAA</v>
          </cell>
          <cell r="M969" t="str">
            <v>A</v>
          </cell>
          <cell r="N969" t="str">
            <v>A</v>
          </cell>
          <cell r="O969" t="str">
            <v>A</v>
          </cell>
          <cell r="P969" t="str">
            <v>A</v>
          </cell>
          <cell r="Q969" t="str">
            <v>A</v>
          </cell>
          <cell r="R969" t="str">
            <v>-</v>
          </cell>
        </row>
        <row r="970">
          <cell r="A970">
            <v>1562457</v>
          </cell>
          <cell r="B970" t="str">
            <v>-</v>
          </cell>
          <cell r="C970">
            <v>58060</v>
          </cell>
          <cell r="D970" t="str">
            <v>245/35 R20</v>
          </cell>
          <cell r="E970">
            <v>95</v>
          </cell>
          <cell r="F970" t="str">
            <v>Y</v>
          </cell>
          <cell r="G970" t="str">
            <v>PROTECH NEWGEN XL</v>
          </cell>
          <cell r="H970">
            <v>1562457</v>
          </cell>
          <cell r="I970">
            <v>52226</v>
          </cell>
          <cell r="J970">
            <v>0</v>
          </cell>
          <cell r="K970" t="str">
            <v>R</v>
          </cell>
          <cell r="L970" t="str">
            <v>AAAAY</v>
          </cell>
          <cell r="M970" t="str">
            <v>A</v>
          </cell>
          <cell r="N970" t="str">
            <v>A</v>
          </cell>
          <cell r="O970" t="str">
            <v>A</v>
          </cell>
          <cell r="P970" t="str">
            <v>A</v>
          </cell>
          <cell r="Q970" t="str">
            <v>Y</v>
          </cell>
          <cell r="R970" t="str">
            <v>-</v>
          </cell>
        </row>
        <row r="971">
          <cell r="A971">
            <v>1562482</v>
          </cell>
          <cell r="B971">
            <v>51</v>
          </cell>
          <cell r="C971">
            <v>147</v>
          </cell>
          <cell r="D971" t="str">
            <v>205/45 R16</v>
          </cell>
          <cell r="E971">
            <v>83</v>
          </cell>
          <cell r="F971" t="str">
            <v>W</v>
          </cell>
          <cell r="G971" t="str">
            <v>PROTECH NEWGEN</v>
          </cell>
          <cell r="H971">
            <v>1562482</v>
          </cell>
          <cell r="I971">
            <v>52051</v>
          </cell>
          <cell r="J971">
            <v>0</v>
          </cell>
          <cell r="K971" t="str">
            <v>P4</v>
          </cell>
          <cell r="L971" t="str">
            <v>AWY</v>
          </cell>
          <cell r="M971" t="str">
            <v>A</v>
          </cell>
          <cell r="N971" t="str">
            <v>W</v>
          </cell>
          <cell r="O971" t="str">
            <v>Y</v>
          </cell>
          <cell r="P971" t="str">
            <v/>
          </cell>
          <cell r="Q971" t="str">
            <v/>
          </cell>
          <cell r="R971" t="str">
            <v>-</v>
          </cell>
        </row>
        <row r="972">
          <cell r="A972">
            <v>1562661</v>
          </cell>
          <cell r="B972" t="str">
            <v>-</v>
          </cell>
          <cell r="C972">
            <v>6053</v>
          </cell>
          <cell r="D972" t="str">
            <v>205/50 R16</v>
          </cell>
          <cell r="E972">
            <v>87</v>
          </cell>
          <cell r="F972" t="str">
            <v>W</v>
          </cell>
          <cell r="G972" t="str">
            <v>PROTECH HP</v>
          </cell>
          <cell r="H972">
            <v>1562661</v>
          </cell>
          <cell r="I972">
            <v>52006</v>
          </cell>
          <cell r="J972">
            <v>0</v>
          </cell>
          <cell r="K972" t="str">
            <v>P7</v>
          </cell>
          <cell r="L972" t="str">
            <v>OY</v>
          </cell>
          <cell r="M972" t="str">
            <v>O</v>
          </cell>
          <cell r="N972" t="str">
            <v>Y</v>
          </cell>
          <cell r="O972" t="str">
            <v/>
          </cell>
          <cell r="P972" t="str">
            <v/>
          </cell>
          <cell r="Q972" t="str">
            <v/>
          </cell>
          <cell r="R972" t="str">
            <v>-</v>
          </cell>
        </row>
        <row r="973">
          <cell r="A973">
            <v>1562665</v>
          </cell>
          <cell r="B973">
            <v>0</v>
          </cell>
          <cell r="C973">
            <v>58151</v>
          </cell>
          <cell r="D973" t="str">
            <v>205/45 R17</v>
          </cell>
          <cell r="E973">
            <v>88</v>
          </cell>
          <cell r="F973" t="str">
            <v>W</v>
          </cell>
          <cell r="G973" t="str">
            <v>PROTECH NEWGEN XL</v>
          </cell>
          <cell r="H973">
            <v>1562665</v>
          </cell>
          <cell r="I973">
            <v>52538</v>
          </cell>
          <cell r="J973">
            <v>0</v>
          </cell>
          <cell r="K973" t="str">
            <v>P0</v>
          </cell>
          <cell r="L973" t="str">
            <v>YROG</v>
          </cell>
          <cell r="M973" t="str">
            <v>Y</v>
          </cell>
          <cell r="N973" t="str">
            <v>R</v>
          </cell>
          <cell r="O973" t="str">
            <v>O</v>
          </cell>
          <cell r="P973" t="str">
            <v>G</v>
          </cell>
          <cell r="Q973" t="str">
            <v/>
          </cell>
          <cell r="R973" t="str">
            <v>-</v>
          </cell>
        </row>
        <row r="974">
          <cell r="A974">
            <v>1562668</v>
          </cell>
          <cell r="B974" t="str">
            <v>-</v>
          </cell>
          <cell r="C974">
            <v>2366</v>
          </cell>
          <cell r="D974" t="str">
            <v>225/45 R17</v>
          </cell>
          <cell r="E974">
            <v>91</v>
          </cell>
          <cell r="F974" t="str">
            <v>Y</v>
          </cell>
          <cell r="G974" t="str">
            <v>PROTECH NEWGEN</v>
          </cell>
          <cell r="H974">
            <v>1562668</v>
          </cell>
          <cell r="I974">
            <v>52258</v>
          </cell>
          <cell r="J974">
            <v>0</v>
          </cell>
          <cell r="K974" t="str">
            <v>P4</v>
          </cell>
          <cell r="L974" t="str">
            <v>RRRRY</v>
          </cell>
          <cell r="M974" t="str">
            <v>R</v>
          </cell>
          <cell r="N974" t="str">
            <v>R</v>
          </cell>
          <cell r="O974" t="str">
            <v>R</v>
          </cell>
          <cell r="P974" t="str">
            <v>R</v>
          </cell>
          <cell r="Q974" t="str">
            <v>Y</v>
          </cell>
          <cell r="R974" t="str">
            <v>-</v>
          </cell>
        </row>
        <row r="975">
          <cell r="A975">
            <v>1563371</v>
          </cell>
          <cell r="B975" t="str">
            <v>-</v>
          </cell>
          <cell r="C975">
            <v>2169</v>
          </cell>
          <cell r="D975" t="str">
            <v>185/65 R15</v>
          </cell>
          <cell r="E975">
            <v>92</v>
          </cell>
          <cell r="F975" t="str">
            <v>T</v>
          </cell>
          <cell r="G975" t="str">
            <v>FOURTECH PLUS</v>
          </cell>
          <cell r="H975">
            <v>1563371</v>
          </cell>
          <cell r="I975">
            <v>52131</v>
          </cell>
          <cell r="J975">
            <v>0</v>
          </cell>
          <cell r="K975" t="str">
            <v>P4</v>
          </cell>
          <cell r="L975" t="str">
            <v>OWRWO</v>
          </cell>
          <cell r="M975" t="str">
            <v>O</v>
          </cell>
          <cell r="N975" t="str">
            <v>W</v>
          </cell>
          <cell r="O975" t="str">
            <v>R</v>
          </cell>
          <cell r="P975" t="str">
            <v>W</v>
          </cell>
          <cell r="Q975" t="str">
            <v>O</v>
          </cell>
          <cell r="R975" t="str">
            <v>-</v>
          </cell>
        </row>
        <row r="976">
          <cell r="A976">
            <v>1563372</v>
          </cell>
          <cell r="B976">
            <v>938</v>
          </cell>
          <cell r="C976">
            <v>2069</v>
          </cell>
          <cell r="D976" t="str">
            <v>185/65 R15</v>
          </cell>
          <cell r="E976">
            <v>88</v>
          </cell>
          <cell r="F976" t="str">
            <v>H</v>
          </cell>
          <cell r="G976" t="str">
            <v>FOURTECH</v>
          </cell>
          <cell r="H976">
            <v>1563372</v>
          </cell>
          <cell r="I976">
            <v>52178</v>
          </cell>
          <cell r="J976">
            <v>0</v>
          </cell>
          <cell r="K976" t="str">
            <v>P4</v>
          </cell>
          <cell r="L976" t="str">
            <v>YYYOO</v>
          </cell>
          <cell r="M976" t="str">
            <v>Y</v>
          </cell>
          <cell r="N976" t="str">
            <v>Y</v>
          </cell>
          <cell r="O976" t="str">
            <v>Y</v>
          </cell>
          <cell r="P976" t="str">
            <v>O</v>
          </cell>
          <cell r="Q976" t="str">
            <v>O</v>
          </cell>
          <cell r="R976" t="str">
            <v>-</v>
          </cell>
        </row>
        <row r="977">
          <cell r="A977">
            <v>1563386</v>
          </cell>
          <cell r="B977">
            <v>671</v>
          </cell>
          <cell r="C977">
            <v>3032</v>
          </cell>
          <cell r="D977" t="str">
            <v>195/45 R16</v>
          </cell>
          <cell r="E977">
            <v>84</v>
          </cell>
          <cell r="F977" t="str">
            <v>V</v>
          </cell>
          <cell r="G977" t="str">
            <v>FOURTECH PLUS XL</v>
          </cell>
          <cell r="H977">
            <v>1563386</v>
          </cell>
          <cell r="I977">
            <v>52573</v>
          </cell>
          <cell r="J977">
            <v>0</v>
          </cell>
          <cell r="K977" t="str">
            <v>P8</v>
          </cell>
          <cell r="L977" t="str">
            <v>AGWAY</v>
          </cell>
          <cell r="M977" t="str">
            <v>A</v>
          </cell>
          <cell r="N977" t="str">
            <v>G</v>
          </cell>
          <cell r="O977" t="str">
            <v>W</v>
          </cell>
          <cell r="P977" t="str">
            <v>A</v>
          </cell>
          <cell r="Q977" t="str">
            <v>Y</v>
          </cell>
          <cell r="R977" t="str">
            <v>-</v>
          </cell>
        </row>
        <row r="978">
          <cell r="A978">
            <v>1563390</v>
          </cell>
          <cell r="B978">
            <v>739</v>
          </cell>
          <cell r="C978">
            <v>2022</v>
          </cell>
          <cell r="D978" t="str">
            <v>205/55 R17</v>
          </cell>
          <cell r="E978">
            <v>95</v>
          </cell>
          <cell r="F978" t="str">
            <v>V</v>
          </cell>
          <cell r="G978" t="str">
            <v>FOURTECH PLUS XL</v>
          </cell>
          <cell r="H978">
            <v>1563390</v>
          </cell>
          <cell r="I978">
            <v>52439</v>
          </cell>
          <cell r="J978">
            <v>0</v>
          </cell>
          <cell r="K978" t="str">
            <v>P4</v>
          </cell>
          <cell r="L978" t="str">
            <v>AAYY</v>
          </cell>
          <cell r="M978" t="str">
            <v>A</v>
          </cell>
          <cell r="N978" t="str">
            <v>A</v>
          </cell>
          <cell r="O978" t="str">
            <v>Y</v>
          </cell>
          <cell r="P978" t="str">
            <v>Y</v>
          </cell>
          <cell r="Q978" t="str">
            <v/>
          </cell>
          <cell r="R978" t="str">
            <v>-</v>
          </cell>
        </row>
        <row r="979">
          <cell r="A979">
            <v>1563391</v>
          </cell>
          <cell r="B979" t="str">
            <v>-</v>
          </cell>
          <cell r="C979">
            <v>3060</v>
          </cell>
          <cell r="D979" t="str">
            <v>215/55 R17</v>
          </cell>
          <cell r="E979">
            <v>98</v>
          </cell>
          <cell r="F979" t="str">
            <v>W</v>
          </cell>
          <cell r="G979" t="str">
            <v>FOURTECH PLUS XL</v>
          </cell>
          <cell r="H979">
            <v>1563391</v>
          </cell>
          <cell r="I979">
            <v>52666</v>
          </cell>
          <cell r="J979">
            <v>0</v>
          </cell>
          <cell r="K979" t="str">
            <v>P4</v>
          </cell>
          <cell r="L979" t="str">
            <v>OAG</v>
          </cell>
          <cell r="M979" t="str">
            <v>O</v>
          </cell>
          <cell r="N979" t="str">
            <v>A</v>
          </cell>
          <cell r="O979" t="str">
            <v>G</v>
          </cell>
          <cell r="P979" t="str">
            <v/>
          </cell>
          <cell r="Q979" t="str">
            <v/>
          </cell>
          <cell r="R979" t="str">
            <v>-</v>
          </cell>
        </row>
        <row r="980">
          <cell r="A980">
            <v>1563394</v>
          </cell>
          <cell r="B980">
            <v>530</v>
          </cell>
          <cell r="C980">
            <v>311</v>
          </cell>
          <cell r="D980" t="str">
            <v>205/50 R17</v>
          </cell>
          <cell r="E980">
            <v>93</v>
          </cell>
          <cell r="F980" t="str">
            <v>W</v>
          </cell>
          <cell r="G980" t="str">
            <v>FOURTECH PLUS XL</v>
          </cell>
          <cell r="H980">
            <v>1563394</v>
          </cell>
          <cell r="I980">
            <v>52331</v>
          </cell>
          <cell r="J980">
            <v>0</v>
          </cell>
          <cell r="K980" t="str">
            <v>P4</v>
          </cell>
          <cell r="L980" t="str">
            <v>AWO</v>
          </cell>
          <cell r="M980" t="str">
            <v>A</v>
          </cell>
          <cell r="N980" t="str">
            <v>W</v>
          </cell>
          <cell r="O980" t="str">
            <v>O</v>
          </cell>
          <cell r="P980" t="str">
            <v/>
          </cell>
          <cell r="Q980" t="str">
            <v/>
          </cell>
          <cell r="R980" t="str">
            <v>-</v>
          </cell>
        </row>
        <row r="981">
          <cell r="A981">
            <v>1563395</v>
          </cell>
          <cell r="B981">
            <v>631</v>
          </cell>
          <cell r="C981">
            <v>3063</v>
          </cell>
          <cell r="D981" t="str">
            <v>215/50 R17</v>
          </cell>
          <cell r="E981">
            <v>95</v>
          </cell>
          <cell r="F981" t="str">
            <v>W</v>
          </cell>
          <cell r="G981" t="str">
            <v>FOURTECH PLUS XL</v>
          </cell>
          <cell r="H981">
            <v>1563395</v>
          </cell>
          <cell r="I981">
            <v>52011</v>
          </cell>
          <cell r="J981">
            <v>0</v>
          </cell>
          <cell r="K981" t="str">
            <v>P4</v>
          </cell>
          <cell r="L981" t="str">
            <v>AYRWO</v>
          </cell>
          <cell r="M981" t="str">
            <v>A</v>
          </cell>
          <cell r="N981" t="str">
            <v>Y</v>
          </cell>
          <cell r="O981" t="str">
            <v>R</v>
          </cell>
          <cell r="P981" t="str">
            <v>W</v>
          </cell>
          <cell r="Q981" t="str">
            <v>O</v>
          </cell>
          <cell r="R981" t="str">
            <v>-</v>
          </cell>
        </row>
        <row r="982">
          <cell r="A982">
            <v>1563397</v>
          </cell>
          <cell r="B982" t="str">
            <v>-</v>
          </cell>
          <cell r="C982">
            <v>58012</v>
          </cell>
          <cell r="D982" t="str">
            <v>205/45 R17</v>
          </cell>
          <cell r="E982">
            <v>88</v>
          </cell>
          <cell r="F982" t="str">
            <v>Y</v>
          </cell>
          <cell r="G982" t="str">
            <v>FOURTECH XL</v>
          </cell>
          <cell r="H982">
            <v>1563397</v>
          </cell>
          <cell r="I982">
            <v>52113</v>
          </cell>
          <cell r="J982">
            <v>0</v>
          </cell>
          <cell r="K982" t="str">
            <v>P4</v>
          </cell>
          <cell r="L982" t="str">
            <v>YYAOO</v>
          </cell>
          <cell r="M982" t="str">
            <v>Y</v>
          </cell>
          <cell r="N982" t="str">
            <v>Y</v>
          </cell>
          <cell r="O982" t="str">
            <v>A</v>
          </cell>
          <cell r="P982" t="str">
            <v>O</v>
          </cell>
          <cell r="Q982" t="str">
            <v>O</v>
          </cell>
          <cell r="R982" t="str">
            <v>-</v>
          </cell>
        </row>
        <row r="983">
          <cell r="A983">
            <v>1563402</v>
          </cell>
          <cell r="B983" t="str">
            <v>-</v>
          </cell>
          <cell r="C983">
            <v>3030</v>
          </cell>
          <cell r="D983" t="str">
            <v>215/55 R18</v>
          </cell>
          <cell r="E983">
            <v>99</v>
          </cell>
          <cell r="F983" t="str">
            <v>V</v>
          </cell>
          <cell r="G983" t="str">
            <v>FOURTECH PLUS XL</v>
          </cell>
          <cell r="H983">
            <v>1563402</v>
          </cell>
          <cell r="I983">
            <v>52144</v>
          </cell>
          <cell r="J983">
            <v>0</v>
          </cell>
          <cell r="K983" t="str">
            <v>P4</v>
          </cell>
          <cell r="L983" t="str">
            <v>AAOAR</v>
          </cell>
          <cell r="M983" t="str">
            <v>A</v>
          </cell>
          <cell r="N983" t="str">
            <v>A</v>
          </cell>
          <cell r="O983" t="str">
            <v>O</v>
          </cell>
          <cell r="P983" t="str">
            <v>A</v>
          </cell>
          <cell r="Q983" t="str">
            <v>R</v>
          </cell>
          <cell r="R983" t="str">
            <v>-</v>
          </cell>
        </row>
        <row r="984">
          <cell r="A984">
            <v>1563403</v>
          </cell>
          <cell r="B984" t="str">
            <v>-</v>
          </cell>
          <cell r="C984">
            <v>2030</v>
          </cell>
          <cell r="D984" t="str">
            <v>225/55 R18</v>
          </cell>
          <cell r="E984">
            <v>102</v>
          </cell>
          <cell r="F984" t="str">
            <v>V</v>
          </cell>
          <cell r="G984" t="str">
            <v>FOURTECH PLUS XL</v>
          </cell>
          <cell r="H984">
            <v>1563403</v>
          </cell>
          <cell r="I984">
            <v>52553</v>
          </cell>
          <cell r="J984">
            <v>0</v>
          </cell>
          <cell r="K984" t="str">
            <v>P0</v>
          </cell>
          <cell r="L984" t="str">
            <v>AAO</v>
          </cell>
          <cell r="M984" t="str">
            <v>A</v>
          </cell>
          <cell r="N984" t="str">
            <v>A</v>
          </cell>
          <cell r="O984" t="str">
            <v>O</v>
          </cell>
          <cell r="P984" t="str">
            <v/>
          </cell>
          <cell r="Q984" t="str">
            <v/>
          </cell>
          <cell r="R984" t="str">
            <v>-</v>
          </cell>
        </row>
        <row r="985">
          <cell r="A985">
            <v>1563404</v>
          </cell>
          <cell r="B985">
            <v>974</v>
          </cell>
          <cell r="C985">
            <v>6086</v>
          </cell>
          <cell r="D985" t="str">
            <v>235/55 R18</v>
          </cell>
          <cell r="E985">
            <v>104</v>
          </cell>
          <cell r="F985" t="str">
            <v>V</v>
          </cell>
          <cell r="G985" t="str">
            <v>FOURTECH XL</v>
          </cell>
          <cell r="H985">
            <v>1563404</v>
          </cell>
          <cell r="I985">
            <v>52486</v>
          </cell>
          <cell r="J985">
            <v>0</v>
          </cell>
          <cell r="K985" t="str">
            <v>P4</v>
          </cell>
          <cell r="L985" t="str">
            <v>RRWAA</v>
          </cell>
          <cell r="M985" t="str">
            <v>R</v>
          </cell>
          <cell r="N985" t="str">
            <v>R</v>
          </cell>
          <cell r="O985" t="str">
            <v>W</v>
          </cell>
          <cell r="P985" t="str">
            <v>A</v>
          </cell>
          <cell r="Q985" t="str">
            <v>A</v>
          </cell>
          <cell r="R985" t="str">
            <v>-</v>
          </cell>
        </row>
        <row r="986">
          <cell r="A986">
            <v>1563406</v>
          </cell>
          <cell r="B986">
            <v>931</v>
          </cell>
          <cell r="C986">
            <v>4024</v>
          </cell>
          <cell r="D986" t="str">
            <v>235/50 R18</v>
          </cell>
          <cell r="E986">
            <v>101</v>
          </cell>
          <cell r="F986" t="str">
            <v>V</v>
          </cell>
          <cell r="G986" t="str">
            <v>FOURTECH XL</v>
          </cell>
          <cell r="H986">
            <v>1563406</v>
          </cell>
          <cell r="I986">
            <v>52432</v>
          </cell>
          <cell r="J986">
            <v>0</v>
          </cell>
          <cell r="K986" t="str">
            <v>P4</v>
          </cell>
          <cell r="L986" t="str">
            <v>AAAWR</v>
          </cell>
          <cell r="M986" t="str">
            <v>A</v>
          </cell>
          <cell r="N986" t="str">
            <v>A</v>
          </cell>
          <cell r="O986" t="str">
            <v>A</v>
          </cell>
          <cell r="P986" t="str">
            <v>W</v>
          </cell>
          <cell r="Q986" t="str">
            <v>R</v>
          </cell>
          <cell r="R986" t="str">
            <v>-</v>
          </cell>
        </row>
        <row r="987">
          <cell r="A987">
            <v>1563407</v>
          </cell>
          <cell r="B987">
            <v>959</v>
          </cell>
          <cell r="C987">
            <v>58059</v>
          </cell>
          <cell r="D987" t="str">
            <v>225/40 R18</v>
          </cell>
          <cell r="E987">
            <v>92</v>
          </cell>
          <cell r="F987" t="str">
            <v>Y</v>
          </cell>
          <cell r="G987" t="str">
            <v>FOURTECH PLUS XL</v>
          </cell>
          <cell r="H987">
            <v>1563407</v>
          </cell>
          <cell r="I987">
            <v>52459</v>
          </cell>
          <cell r="J987">
            <v>0</v>
          </cell>
          <cell r="K987" t="str">
            <v>P4</v>
          </cell>
          <cell r="L987" t="str">
            <v>RRA</v>
          </cell>
          <cell r="M987" t="str">
            <v>R</v>
          </cell>
          <cell r="N987" t="str">
            <v>R</v>
          </cell>
          <cell r="O987" t="str">
            <v>A</v>
          </cell>
          <cell r="P987" t="str">
            <v/>
          </cell>
          <cell r="Q987" t="str">
            <v/>
          </cell>
          <cell r="R987" t="str">
            <v>-</v>
          </cell>
        </row>
        <row r="988">
          <cell r="A988">
            <v>1563408</v>
          </cell>
          <cell r="B988">
            <v>459</v>
          </cell>
          <cell r="C988">
            <v>2028</v>
          </cell>
          <cell r="D988" t="str">
            <v>225/55 R19</v>
          </cell>
          <cell r="E988">
            <v>99</v>
          </cell>
          <cell r="F988" t="str">
            <v>V</v>
          </cell>
          <cell r="G988" t="str">
            <v>FOURTECH PLUS</v>
          </cell>
          <cell r="H988">
            <v>1563408</v>
          </cell>
          <cell r="I988">
            <v>52417</v>
          </cell>
          <cell r="J988">
            <v>0</v>
          </cell>
          <cell r="K988" t="str">
            <v>P4</v>
          </cell>
          <cell r="L988" t="str">
            <v>AAAGG</v>
          </cell>
          <cell r="M988" t="str">
            <v>A</v>
          </cell>
          <cell r="N988" t="str">
            <v>A</v>
          </cell>
          <cell r="O988" t="str">
            <v>A</v>
          </cell>
          <cell r="P988" t="str">
            <v>G</v>
          </cell>
          <cell r="Q988" t="str">
            <v>G</v>
          </cell>
          <cell r="R988" t="str">
            <v>-</v>
          </cell>
        </row>
        <row r="989">
          <cell r="A989">
            <v>1563411</v>
          </cell>
          <cell r="B989" t="str">
            <v>-</v>
          </cell>
          <cell r="C989">
            <v>3082</v>
          </cell>
          <cell r="D989" t="str">
            <v>225/45 R19</v>
          </cell>
          <cell r="E989">
            <v>96</v>
          </cell>
          <cell r="F989" t="str">
            <v>W</v>
          </cell>
          <cell r="G989" t="str">
            <v>FOURTECH PLUS XL</v>
          </cell>
          <cell r="H989">
            <v>1563411</v>
          </cell>
          <cell r="I989">
            <v>52016</v>
          </cell>
          <cell r="J989">
            <v>0</v>
          </cell>
          <cell r="K989" t="str">
            <v>P4</v>
          </cell>
          <cell r="L989" t="str">
            <v>WAYGR</v>
          </cell>
          <cell r="M989" t="str">
            <v>W</v>
          </cell>
          <cell r="N989" t="str">
            <v>A</v>
          </cell>
          <cell r="O989" t="str">
            <v>Y</v>
          </cell>
          <cell r="P989" t="str">
            <v>G</v>
          </cell>
          <cell r="Q989" t="str">
            <v>R</v>
          </cell>
          <cell r="R989" t="str">
            <v>-</v>
          </cell>
        </row>
        <row r="990">
          <cell r="A990">
            <v>1563418</v>
          </cell>
          <cell r="B990" t="str">
            <v>-</v>
          </cell>
          <cell r="C990">
            <v>4000</v>
          </cell>
          <cell r="D990" t="str">
            <v>195/60 R16</v>
          </cell>
          <cell r="E990">
            <v>89</v>
          </cell>
          <cell r="F990" t="str">
            <v>H</v>
          </cell>
          <cell r="G990" t="str">
            <v>WINTECH NEWGEN</v>
          </cell>
          <cell r="H990">
            <v>1563418</v>
          </cell>
          <cell r="I990">
            <v>52542</v>
          </cell>
          <cell r="J990">
            <v>0</v>
          </cell>
          <cell r="K990" t="str">
            <v>P0</v>
          </cell>
          <cell r="L990" t="str">
            <v>YGAOW</v>
          </cell>
          <cell r="M990" t="str">
            <v>Y</v>
          </cell>
          <cell r="N990" t="str">
            <v>G</v>
          </cell>
          <cell r="O990" t="str">
            <v>A</v>
          </cell>
          <cell r="P990" t="str">
            <v>O</v>
          </cell>
          <cell r="Q990" t="str">
            <v>W</v>
          </cell>
          <cell r="R990" t="str">
            <v>-</v>
          </cell>
        </row>
        <row r="991">
          <cell r="A991">
            <v>1563428</v>
          </cell>
          <cell r="B991" t="str">
            <v>-</v>
          </cell>
          <cell r="C991">
            <v>3274</v>
          </cell>
          <cell r="D991" t="str">
            <v>215/65 R17</v>
          </cell>
          <cell r="E991">
            <v>99</v>
          </cell>
          <cell r="F991" t="str">
            <v>V</v>
          </cell>
          <cell r="G991" t="str">
            <v>WINTECH NEWGEN</v>
          </cell>
          <cell r="H991">
            <v>1563428</v>
          </cell>
          <cell r="I991">
            <v>52298</v>
          </cell>
          <cell r="J991">
            <v>0</v>
          </cell>
          <cell r="K991" t="str">
            <v>P3</v>
          </cell>
          <cell r="L991" t="str">
            <v>YYYGG</v>
          </cell>
          <cell r="M991" t="str">
            <v>Y</v>
          </cell>
          <cell r="N991" t="str">
            <v>Y</v>
          </cell>
          <cell r="O991" t="str">
            <v>Y</v>
          </cell>
          <cell r="P991" t="str">
            <v>G</v>
          </cell>
          <cell r="Q991" t="str">
            <v>G</v>
          </cell>
          <cell r="R991" t="str">
            <v>-</v>
          </cell>
        </row>
        <row r="992">
          <cell r="A992">
            <v>1563432</v>
          </cell>
          <cell r="B992" t="str">
            <v>-</v>
          </cell>
          <cell r="C992">
            <v>291</v>
          </cell>
          <cell r="D992" t="str">
            <v>205/55 R17</v>
          </cell>
          <cell r="E992">
            <v>95</v>
          </cell>
          <cell r="F992" t="str">
            <v>V</v>
          </cell>
          <cell r="G992" t="str">
            <v>WINTECH XL</v>
          </cell>
          <cell r="H992">
            <v>1563432</v>
          </cell>
          <cell r="I992">
            <v>52482</v>
          </cell>
          <cell r="J992">
            <v>0</v>
          </cell>
          <cell r="K992" t="str">
            <v>P3</v>
          </cell>
          <cell r="L992" t="str">
            <v>OOR</v>
          </cell>
          <cell r="M992" t="str">
            <v>O</v>
          </cell>
          <cell r="N992" t="str">
            <v>O</v>
          </cell>
          <cell r="O992" t="str">
            <v>R</v>
          </cell>
          <cell r="P992" t="str">
            <v/>
          </cell>
          <cell r="Q992" t="str">
            <v/>
          </cell>
          <cell r="R992" t="str">
            <v>-</v>
          </cell>
        </row>
        <row r="993">
          <cell r="A993">
            <v>1563433</v>
          </cell>
          <cell r="B993" t="str">
            <v>-</v>
          </cell>
          <cell r="C993">
            <v>3</v>
          </cell>
          <cell r="D993" t="str">
            <v>215/55 R17</v>
          </cell>
          <cell r="E993">
            <v>98</v>
          </cell>
          <cell r="F993" t="str">
            <v>V</v>
          </cell>
          <cell r="G993" t="str">
            <v>WINTECH NEWGEN XL</v>
          </cell>
          <cell r="H993">
            <v>1563433</v>
          </cell>
          <cell r="I993">
            <v>52334</v>
          </cell>
          <cell r="J993">
            <v>0</v>
          </cell>
          <cell r="K993" t="str">
            <v>P0</v>
          </cell>
          <cell r="L993" t="str">
            <v>YYYRA</v>
          </cell>
          <cell r="M993" t="str">
            <v>Y</v>
          </cell>
          <cell r="N993" t="str">
            <v>Y</v>
          </cell>
          <cell r="O993" t="str">
            <v>Y</v>
          </cell>
          <cell r="P993" t="str">
            <v>R</v>
          </cell>
          <cell r="Q993" t="str">
            <v>A</v>
          </cell>
          <cell r="R993" t="str">
            <v>-</v>
          </cell>
        </row>
        <row r="994">
          <cell r="A994">
            <v>1563436</v>
          </cell>
          <cell r="B994" t="str">
            <v>-</v>
          </cell>
          <cell r="C994">
            <v>4050</v>
          </cell>
          <cell r="D994" t="str">
            <v>205/50 R17</v>
          </cell>
          <cell r="E994">
            <v>93</v>
          </cell>
          <cell r="F994" t="str">
            <v>V</v>
          </cell>
          <cell r="G994" t="str">
            <v>WINTECH XL</v>
          </cell>
          <cell r="H994">
            <v>1563436</v>
          </cell>
          <cell r="I994">
            <v>52566</v>
          </cell>
          <cell r="J994">
            <v>0</v>
          </cell>
          <cell r="K994" t="str">
            <v>P3</v>
          </cell>
          <cell r="L994" t="str">
            <v>WYGR</v>
          </cell>
          <cell r="M994" t="str">
            <v>W</v>
          </cell>
          <cell r="N994" t="str">
            <v>Y</v>
          </cell>
          <cell r="O994" t="str">
            <v>G</v>
          </cell>
          <cell r="P994" t="str">
            <v>R</v>
          </cell>
          <cell r="Q994" t="str">
            <v/>
          </cell>
          <cell r="R994" t="str">
            <v>-</v>
          </cell>
        </row>
        <row r="995">
          <cell r="A995">
            <v>1563437</v>
          </cell>
          <cell r="B995">
            <v>370</v>
          </cell>
          <cell r="C995">
            <v>5358</v>
          </cell>
          <cell r="D995" t="str">
            <v>215/50 R17</v>
          </cell>
          <cell r="E995">
            <v>95</v>
          </cell>
          <cell r="F995" t="str">
            <v>V</v>
          </cell>
          <cell r="G995" t="str">
            <v>WINTECH XL</v>
          </cell>
          <cell r="H995">
            <v>1563437</v>
          </cell>
          <cell r="I995">
            <v>52370</v>
          </cell>
          <cell r="J995">
            <v>0</v>
          </cell>
          <cell r="K995" t="str">
            <v>P3</v>
          </cell>
          <cell r="L995" t="str">
            <v>YYYW</v>
          </cell>
          <cell r="M995" t="str">
            <v>Y</v>
          </cell>
          <cell r="N995" t="str">
            <v>Y</v>
          </cell>
          <cell r="O995" t="str">
            <v>Y</v>
          </cell>
          <cell r="P995" t="str">
            <v>W</v>
          </cell>
          <cell r="Q995" t="str">
            <v/>
          </cell>
          <cell r="R995" t="str">
            <v>-</v>
          </cell>
        </row>
        <row r="996">
          <cell r="A996">
            <v>1563439</v>
          </cell>
          <cell r="B996" t="str">
            <v>-</v>
          </cell>
          <cell r="C996">
            <v>58042</v>
          </cell>
          <cell r="D996" t="str">
            <v>205/45 R17</v>
          </cell>
          <cell r="E996">
            <v>88</v>
          </cell>
          <cell r="F996" t="str">
            <v>V</v>
          </cell>
          <cell r="G996" t="str">
            <v>WINTECH XL</v>
          </cell>
          <cell r="H996">
            <v>1563439</v>
          </cell>
          <cell r="I996">
            <v>52742</v>
          </cell>
          <cell r="J996">
            <v>0</v>
          </cell>
          <cell r="K996" t="str">
            <v>P3</v>
          </cell>
          <cell r="L996" t="str">
            <v>RGO</v>
          </cell>
          <cell r="M996" t="str">
            <v>R</v>
          </cell>
          <cell r="N996" t="str">
            <v>G</v>
          </cell>
          <cell r="O996" t="str">
            <v>O</v>
          </cell>
          <cell r="P996" t="str">
            <v/>
          </cell>
          <cell r="Q996" t="str">
            <v/>
          </cell>
          <cell r="R996" t="str">
            <v>-</v>
          </cell>
        </row>
        <row r="997">
          <cell r="A997">
            <v>1563446</v>
          </cell>
          <cell r="B997" t="str">
            <v>-</v>
          </cell>
          <cell r="C997">
            <v>4043</v>
          </cell>
          <cell r="D997" t="str">
            <v>235/50 R19</v>
          </cell>
          <cell r="E997">
            <v>103</v>
          </cell>
          <cell r="F997" t="str">
            <v>V</v>
          </cell>
          <cell r="G997" t="str">
            <v>WINTECH XL</v>
          </cell>
          <cell r="H997">
            <v>1563446</v>
          </cell>
          <cell r="I997">
            <v>52386</v>
          </cell>
          <cell r="J997">
            <v>0</v>
          </cell>
          <cell r="K997" t="str">
            <v>P3</v>
          </cell>
          <cell r="L997" t="str">
            <v>OOOGG</v>
          </cell>
          <cell r="M997" t="str">
            <v>O</v>
          </cell>
          <cell r="N997" t="str">
            <v>O</v>
          </cell>
          <cell r="O997" t="str">
            <v>O</v>
          </cell>
          <cell r="P997" t="str">
            <v>G</v>
          </cell>
          <cell r="Q997" t="str">
            <v>G</v>
          </cell>
          <cell r="R997" t="str">
            <v>-</v>
          </cell>
        </row>
        <row r="998">
          <cell r="A998">
            <v>1563450</v>
          </cell>
          <cell r="B998" t="str">
            <v>-</v>
          </cell>
          <cell r="C998">
            <v>58076</v>
          </cell>
          <cell r="D998" t="str">
            <v>245/40 R19</v>
          </cell>
          <cell r="E998">
            <v>98</v>
          </cell>
          <cell r="F998" t="str">
            <v>V</v>
          </cell>
          <cell r="G998" t="str">
            <v>WINTECH NEWGEN XL</v>
          </cell>
          <cell r="H998">
            <v>1563450</v>
          </cell>
          <cell r="I998">
            <v>52336</v>
          </cell>
          <cell r="J998">
            <v>0</v>
          </cell>
          <cell r="K998" t="str">
            <v>P0</v>
          </cell>
          <cell r="L998" t="str">
            <v>AYAAA</v>
          </cell>
          <cell r="M998" t="str">
            <v>A</v>
          </cell>
          <cell r="N998" t="str">
            <v>Y</v>
          </cell>
          <cell r="O998" t="str">
            <v>A</v>
          </cell>
          <cell r="P998" t="str">
            <v>A</v>
          </cell>
          <cell r="Q998" t="str">
            <v>A</v>
          </cell>
          <cell r="R998" t="str">
            <v>-</v>
          </cell>
        </row>
        <row r="999">
          <cell r="A999">
            <v>1563455</v>
          </cell>
          <cell r="B999" t="str">
            <v>-</v>
          </cell>
          <cell r="C999">
            <v>58037</v>
          </cell>
          <cell r="D999" t="str">
            <v>245/40 R18</v>
          </cell>
          <cell r="E999">
            <v>97</v>
          </cell>
          <cell r="F999" t="str">
            <v>V</v>
          </cell>
          <cell r="G999" t="str">
            <v>WINTECH XL</v>
          </cell>
          <cell r="H999">
            <v>1563455</v>
          </cell>
          <cell r="I999">
            <v>52522</v>
          </cell>
          <cell r="J999">
            <v>0</v>
          </cell>
          <cell r="K999" t="str">
            <v>P4</v>
          </cell>
          <cell r="L999" t="str">
            <v>ARYGY</v>
          </cell>
          <cell r="M999" t="str">
            <v>A</v>
          </cell>
          <cell r="N999" t="str">
            <v>R</v>
          </cell>
          <cell r="O999" t="str">
            <v>Y</v>
          </cell>
          <cell r="P999" t="str">
            <v>G</v>
          </cell>
          <cell r="Q999" t="str">
            <v>Y</v>
          </cell>
          <cell r="R999" t="str">
            <v>-</v>
          </cell>
        </row>
        <row r="1000">
          <cell r="A1000">
            <v>1563456</v>
          </cell>
          <cell r="B1000" t="str">
            <v>-</v>
          </cell>
          <cell r="C1000">
            <v>4143</v>
          </cell>
          <cell r="D1000" t="str">
            <v>235/50 R18</v>
          </cell>
          <cell r="E1000">
            <v>101</v>
          </cell>
          <cell r="F1000" t="str">
            <v>V</v>
          </cell>
          <cell r="G1000" t="str">
            <v>WINTECH NEWGEN XL</v>
          </cell>
          <cell r="H1000">
            <v>1563456</v>
          </cell>
          <cell r="I1000">
            <v>52923</v>
          </cell>
          <cell r="J1000">
            <v>0</v>
          </cell>
          <cell r="K1000" t="str">
            <v>P0</v>
          </cell>
          <cell r="L1000" t="str">
            <v>AAGY</v>
          </cell>
          <cell r="M1000" t="str">
            <v>A</v>
          </cell>
          <cell r="N1000" t="str">
            <v>A</v>
          </cell>
          <cell r="O1000" t="str">
            <v>G</v>
          </cell>
          <cell r="P1000" t="str">
            <v>Y</v>
          </cell>
          <cell r="Q1000" t="str">
            <v/>
          </cell>
          <cell r="R1000" t="str">
            <v>-</v>
          </cell>
        </row>
        <row r="1001">
          <cell r="A1001">
            <v>1563461</v>
          </cell>
          <cell r="B1001" t="str">
            <v>-</v>
          </cell>
          <cell r="C1001">
            <v>58053</v>
          </cell>
          <cell r="D1001" t="str">
            <v>225/40 R18</v>
          </cell>
          <cell r="E1001">
            <v>92</v>
          </cell>
          <cell r="F1001" t="str">
            <v>V</v>
          </cell>
          <cell r="G1001" t="str">
            <v>WINTECH NEWGEN XL</v>
          </cell>
          <cell r="H1001">
            <v>1563461</v>
          </cell>
          <cell r="I1001">
            <v>52437</v>
          </cell>
          <cell r="J1001">
            <v>0</v>
          </cell>
          <cell r="K1001" t="str">
            <v>P0</v>
          </cell>
          <cell r="L1001" t="str">
            <v>AORA</v>
          </cell>
          <cell r="M1001" t="str">
            <v>A</v>
          </cell>
          <cell r="N1001" t="str">
            <v>O</v>
          </cell>
          <cell r="O1001" t="str">
            <v>R</v>
          </cell>
          <cell r="P1001" t="str">
            <v>A</v>
          </cell>
          <cell r="Q1001" t="str">
            <v/>
          </cell>
          <cell r="R1001" t="str">
            <v>-</v>
          </cell>
        </row>
        <row r="1002">
          <cell r="A1002">
            <v>1580982</v>
          </cell>
          <cell r="B1002">
            <v>808</v>
          </cell>
          <cell r="C1002">
            <v>5015</v>
          </cell>
          <cell r="D1002" t="str">
            <v>175/55 R15</v>
          </cell>
          <cell r="E1002">
            <v>77</v>
          </cell>
          <cell r="F1002" t="str">
            <v>T</v>
          </cell>
          <cell r="G1002" t="str">
            <v>HECTORRA3 MP47</v>
          </cell>
          <cell r="H1002">
            <v>1580982</v>
          </cell>
          <cell r="I1002">
            <v>52805</v>
          </cell>
          <cell r="J1002">
            <v>0</v>
          </cell>
          <cell r="K1002" t="str">
            <v>P4</v>
          </cell>
          <cell r="L1002" t="str">
            <v>RWO</v>
          </cell>
          <cell r="M1002" t="str">
            <v>R</v>
          </cell>
          <cell r="N1002" t="str">
            <v>W</v>
          </cell>
          <cell r="O1002" t="str">
            <v>O</v>
          </cell>
          <cell r="P1002" t="str">
            <v/>
          </cell>
          <cell r="Q1002" t="str">
            <v/>
          </cell>
          <cell r="R1002" t="str">
            <v>-</v>
          </cell>
        </row>
        <row r="1003">
          <cell r="A1003">
            <v>1581059</v>
          </cell>
          <cell r="B1003">
            <v>561</v>
          </cell>
          <cell r="C1003">
            <v>3095</v>
          </cell>
          <cell r="D1003" t="str">
            <v>165/65 R15</v>
          </cell>
          <cell r="E1003">
            <v>81</v>
          </cell>
          <cell r="F1003" t="str">
            <v>T</v>
          </cell>
          <cell r="G1003" t="str">
            <v>HECTORRA3 MP47</v>
          </cell>
          <cell r="H1003">
            <v>1581059</v>
          </cell>
          <cell r="I1003">
            <v>52461</v>
          </cell>
          <cell r="J1003">
            <v>0</v>
          </cell>
          <cell r="K1003" t="str">
            <v>P8</v>
          </cell>
          <cell r="L1003" t="str">
            <v>RY</v>
          </cell>
          <cell r="M1003" t="str">
            <v>R</v>
          </cell>
          <cell r="N1003" t="str">
            <v>Y</v>
          </cell>
          <cell r="O1003" t="str">
            <v/>
          </cell>
          <cell r="P1003" t="str">
            <v/>
          </cell>
          <cell r="Q1003" t="str">
            <v/>
          </cell>
          <cell r="R1003" t="str">
            <v>-</v>
          </cell>
        </row>
        <row r="1004">
          <cell r="A1004">
            <v>1581072</v>
          </cell>
          <cell r="B1004">
            <v>587</v>
          </cell>
          <cell r="C1004">
            <v>88</v>
          </cell>
          <cell r="D1004" t="str">
            <v>185/65 R15</v>
          </cell>
          <cell r="E1004">
            <v>88</v>
          </cell>
          <cell r="F1004" t="str">
            <v>T</v>
          </cell>
          <cell r="G1004" t="str">
            <v>MP62</v>
          </cell>
          <cell r="H1004">
            <v>1581072</v>
          </cell>
          <cell r="I1004">
            <v>52323</v>
          </cell>
          <cell r="J1004">
            <v>0</v>
          </cell>
          <cell r="K1004" t="str">
            <v>P4</v>
          </cell>
          <cell r="L1004" t="str">
            <v>YYYYW</v>
          </cell>
          <cell r="M1004" t="str">
            <v>Y</v>
          </cell>
          <cell r="N1004" t="str">
            <v>Y</v>
          </cell>
          <cell r="O1004" t="str">
            <v>Y</v>
          </cell>
          <cell r="P1004" t="str">
            <v>Y</v>
          </cell>
          <cell r="Q1004" t="str">
            <v>W</v>
          </cell>
          <cell r="R1004" t="str">
            <v>-</v>
          </cell>
        </row>
        <row r="1005">
          <cell r="A1005">
            <v>1581130</v>
          </cell>
          <cell r="B1005">
            <v>734</v>
          </cell>
          <cell r="C1005">
            <v>4028</v>
          </cell>
          <cell r="D1005" t="str">
            <v>205/45 R17</v>
          </cell>
          <cell r="E1005">
            <v>88</v>
          </cell>
          <cell r="F1005" t="str">
            <v>Y</v>
          </cell>
          <cell r="G1005" t="str">
            <v>HECTORRA 5 XL</v>
          </cell>
          <cell r="H1005">
            <v>1581130</v>
          </cell>
          <cell r="I1005">
            <v>52534</v>
          </cell>
          <cell r="J1005">
            <v>0</v>
          </cell>
          <cell r="K1005" t="str">
            <v>P4</v>
          </cell>
          <cell r="L1005" t="str">
            <v>O</v>
          </cell>
          <cell r="M1005" t="str">
            <v>O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>-</v>
          </cell>
        </row>
        <row r="1006">
          <cell r="A1006">
            <v>1581135</v>
          </cell>
          <cell r="B1006" t="str">
            <v>-</v>
          </cell>
          <cell r="C1006">
            <v>4091</v>
          </cell>
          <cell r="D1006" t="str">
            <v>205/55 R17</v>
          </cell>
          <cell r="E1006">
            <v>95</v>
          </cell>
          <cell r="F1006" t="str">
            <v>V</v>
          </cell>
          <cell r="G1006" t="str">
            <v>HECTORRA 5 XL</v>
          </cell>
          <cell r="H1006">
            <v>1581135</v>
          </cell>
          <cell r="I1006">
            <v>52720</v>
          </cell>
          <cell r="J1006">
            <v>0</v>
          </cell>
          <cell r="K1006" t="str">
            <v>P2</v>
          </cell>
          <cell r="L1006" t="str">
            <v>YARGA</v>
          </cell>
          <cell r="M1006" t="str">
            <v>Y</v>
          </cell>
          <cell r="N1006" t="str">
            <v>A</v>
          </cell>
          <cell r="O1006" t="str">
            <v>R</v>
          </cell>
          <cell r="P1006" t="str">
            <v>G</v>
          </cell>
          <cell r="Q1006" t="str">
            <v>A</v>
          </cell>
          <cell r="R1006" t="str">
            <v>-</v>
          </cell>
        </row>
        <row r="1007">
          <cell r="A1007">
            <v>1581139</v>
          </cell>
          <cell r="B1007" t="str">
            <v>-</v>
          </cell>
          <cell r="C1007">
            <v>58022</v>
          </cell>
          <cell r="D1007" t="str">
            <v>215/40 R17</v>
          </cell>
          <cell r="E1007">
            <v>87</v>
          </cell>
          <cell r="F1007" t="str">
            <v>Y</v>
          </cell>
          <cell r="G1007" t="str">
            <v>HECTORRA 5 XL</v>
          </cell>
          <cell r="H1007">
            <v>1581139</v>
          </cell>
          <cell r="I1007">
            <v>52059</v>
          </cell>
          <cell r="J1007">
            <v>0</v>
          </cell>
          <cell r="K1007" t="str">
            <v>P4</v>
          </cell>
          <cell r="L1007" t="str">
            <v>AAAGW</v>
          </cell>
          <cell r="M1007" t="str">
            <v>A</v>
          </cell>
          <cell r="N1007" t="str">
            <v>A</v>
          </cell>
          <cell r="O1007" t="str">
            <v>A</v>
          </cell>
          <cell r="P1007" t="str">
            <v>G</v>
          </cell>
          <cell r="Q1007" t="str">
            <v>W</v>
          </cell>
          <cell r="R1007" t="str">
            <v>-</v>
          </cell>
        </row>
        <row r="1008">
          <cell r="A1008">
            <v>1581140</v>
          </cell>
          <cell r="B1008">
            <v>589</v>
          </cell>
          <cell r="C1008">
            <v>6130</v>
          </cell>
          <cell r="D1008" t="str">
            <v>215/50 R17</v>
          </cell>
          <cell r="E1008">
            <v>95</v>
          </cell>
          <cell r="F1008" t="str">
            <v>W</v>
          </cell>
          <cell r="G1008" t="str">
            <v>HECTORRA 5 XL</v>
          </cell>
          <cell r="H1008">
            <v>1581140</v>
          </cell>
          <cell r="I1008">
            <v>52389</v>
          </cell>
          <cell r="J1008">
            <v>0</v>
          </cell>
          <cell r="K1008" t="str">
            <v>P4</v>
          </cell>
          <cell r="L1008" t="str">
            <v>WRWRR</v>
          </cell>
          <cell r="M1008" t="str">
            <v>W</v>
          </cell>
          <cell r="N1008" t="str">
            <v>R</v>
          </cell>
          <cell r="O1008" t="str">
            <v>W</v>
          </cell>
          <cell r="P1008" t="str">
            <v>R</v>
          </cell>
          <cell r="Q1008" t="str">
            <v>R</v>
          </cell>
          <cell r="R1008" t="str">
            <v>-</v>
          </cell>
        </row>
        <row r="1009">
          <cell r="A1009">
            <v>1581144</v>
          </cell>
          <cell r="B1009" t="str">
            <v>-</v>
          </cell>
          <cell r="C1009">
            <v>5196</v>
          </cell>
          <cell r="D1009" t="str">
            <v>215/55 R18</v>
          </cell>
          <cell r="E1009">
            <v>99</v>
          </cell>
          <cell r="F1009" t="str">
            <v>V</v>
          </cell>
          <cell r="G1009" t="str">
            <v>HECTORRA 5 XL</v>
          </cell>
          <cell r="H1009">
            <v>1581144</v>
          </cell>
          <cell r="I1009">
            <v>52897</v>
          </cell>
          <cell r="J1009">
            <v>0</v>
          </cell>
          <cell r="K1009" t="str">
            <v>P4</v>
          </cell>
          <cell r="L1009" t="str">
            <v>RRGGR</v>
          </cell>
          <cell r="M1009" t="str">
            <v>R</v>
          </cell>
          <cell r="N1009" t="str">
            <v>R</v>
          </cell>
          <cell r="O1009" t="str">
            <v>G</v>
          </cell>
          <cell r="P1009" t="str">
            <v>G</v>
          </cell>
          <cell r="Q1009" t="str">
            <v>R</v>
          </cell>
          <cell r="R1009" t="str">
            <v>-</v>
          </cell>
        </row>
        <row r="1010">
          <cell r="A1010">
            <v>1581148</v>
          </cell>
          <cell r="B1010" t="str">
            <v>-</v>
          </cell>
          <cell r="C1010">
            <v>4083</v>
          </cell>
          <cell r="D1010" t="str">
            <v>225/45 R17</v>
          </cell>
          <cell r="E1010">
            <v>94</v>
          </cell>
          <cell r="F1010" t="str">
            <v>Y</v>
          </cell>
          <cell r="G1010" t="str">
            <v>HECTORRA 5 XL</v>
          </cell>
          <cell r="H1010">
            <v>1581148</v>
          </cell>
          <cell r="I1010">
            <v>52398</v>
          </cell>
          <cell r="J1010">
            <v>0</v>
          </cell>
          <cell r="K1010" t="str">
            <v>P4</v>
          </cell>
          <cell r="L1010" t="str">
            <v>AGAGY</v>
          </cell>
          <cell r="M1010" t="str">
            <v>A</v>
          </cell>
          <cell r="N1010" t="str">
            <v>G</v>
          </cell>
          <cell r="O1010" t="str">
            <v>A</v>
          </cell>
          <cell r="P1010" t="str">
            <v>G</v>
          </cell>
          <cell r="Q1010" t="str">
            <v>Y</v>
          </cell>
          <cell r="R1010" t="str">
            <v>-</v>
          </cell>
        </row>
        <row r="1011">
          <cell r="A1011">
            <v>1581153</v>
          </cell>
          <cell r="B1011">
            <v>190</v>
          </cell>
          <cell r="C1011">
            <v>2402</v>
          </cell>
          <cell r="D1011" t="str">
            <v>225/55 R18</v>
          </cell>
          <cell r="E1011">
            <v>98</v>
          </cell>
          <cell r="F1011" t="str">
            <v>V</v>
          </cell>
          <cell r="G1011" t="str">
            <v>HECTORRA 5</v>
          </cell>
          <cell r="H1011">
            <v>1581153</v>
          </cell>
          <cell r="I1011">
            <v>52198</v>
          </cell>
          <cell r="J1011">
            <v>0</v>
          </cell>
          <cell r="K1011" t="str">
            <v>P4</v>
          </cell>
          <cell r="L1011" t="str">
            <v>WAW</v>
          </cell>
          <cell r="M1011" t="str">
            <v>W</v>
          </cell>
          <cell r="N1011" t="str">
            <v>A</v>
          </cell>
          <cell r="O1011" t="str">
            <v>W</v>
          </cell>
          <cell r="P1011" t="str">
            <v/>
          </cell>
          <cell r="Q1011" t="str">
            <v/>
          </cell>
          <cell r="R1011" t="str">
            <v>-</v>
          </cell>
        </row>
        <row r="1012">
          <cell r="A1012">
            <v>1581158</v>
          </cell>
          <cell r="B1012">
            <v>742</v>
          </cell>
          <cell r="C1012">
            <v>6041</v>
          </cell>
          <cell r="D1012" t="str">
            <v>235/45 R19</v>
          </cell>
          <cell r="E1012">
            <v>99</v>
          </cell>
          <cell r="F1012" t="str">
            <v>W</v>
          </cell>
          <cell r="G1012" t="str">
            <v>HECTORRA 5 XL</v>
          </cell>
          <cell r="H1012">
            <v>1581158</v>
          </cell>
          <cell r="I1012">
            <v>52751</v>
          </cell>
          <cell r="J1012">
            <v>0</v>
          </cell>
          <cell r="K1012" t="str">
            <v>P4</v>
          </cell>
          <cell r="L1012" t="str">
            <v>WYOY</v>
          </cell>
          <cell r="M1012" t="str">
            <v>W</v>
          </cell>
          <cell r="N1012" t="str">
            <v>Y</v>
          </cell>
          <cell r="O1012" t="str">
            <v>O</v>
          </cell>
          <cell r="P1012" t="str">
            <v>Y</v>
          </cell>
          <cell r="Q1012" t="str">
            <v/>
          </cell>
          <cell r="R1012" t="str">
            <v>-</v>
          </cell>
        </row>
        <row r="1013">
          <cell r="A1013">
            <v>1581159</v>
          </cell>
          <cell r="B1013">
            <v>821</v>
          </cell>
          <cell r="C1013">
            <v>2335</v>
          </cell>
          <cell r="D1013" t="str">
            <v>235/50 R18</v>
          </cell>
          <cell r="E1013">
            <v>97</v>
          </cell>
          <cell r="F1013" t="str">
            <v>V</v>
          </cell>
          <cell r="G1013" t="str">
            <v>HECTORRA 5</v>
          </cell>
          <cell r="H1013">
            <v>1581159</v>
          </cell>
          <cell r="I1013">
            <v>52330</v>
          </cell>
          <cell r="J1013">
            <v>0</v>
          </cell>
          <cell r="K1013" t="str">
            <v>P4</v>
          </cell>
          <cell r="L1013" t="str">
            <v>WRGGG</v>
          </cell>
          <cell r="M1013" t="str">
            <v>W</v>
          </cell>
          <cell r="N1013" t="str">
            <v>R</v>
          </cell>
          <cell r="O1013" t="str">
            <v>G</v>
          </cell>
          <cell r="P1013" t="str">
            <v>G</v>
          </cell>
          <cell r="Q1013" t="str">
            <v>G</v>
          </cell>
          <cell r="R1013" t="str">
            <v>-</v>
          </cell>
        </row>
        <row r="1014">
          <cell r="A1014">
            <v>1581200</v>
          </cell>
          <cell r="B1014" t="str">
            <v>-</v>
          </cell>
          <cell r="C1014">
            <v>58007</v>
          </cell>
          <cell r="D1014" t="str">
            <v>215/45 R17</v>
          </cell>
          <cell r="E1014">
            <v>91</v>
          </cell>
          <cell r="F1014" t="str">
            <v>Y</v>
          </cell>
          <cell r="G1014" t="str">
            <v>HECTORRA 5 XL</v>
          </cell>
          <cell r="H1014">
            <v>1581200</v>
          </cell>
          <cell r="I1014">
            <v>52058</v>
          </cell>
          <cell r="J1014">
            <v>0</v>
          </cell>
          <cell r="K1014" t="str">
            <v>P0</v>
          </cell>
          <cell r="L1014" t="str">
            <v>RYWAW</v>
          </cell>
          <cell r="M1014" t="str">
            <v>R</v>
          </cell>
          <cell r="N1014" t="str">
            <v>Y</v>
          </cell>
          <cell r="O1014" t="str">
            <v>W</v>
          </cell>
          <cell r="P1014" t="str">
            <v>A</v>
          </cell>
          <cell r="Q1014" t="str">
            <v>W</v>
          </cell>
          <cell r="R1014" t="str">
            <v>-</v>
          </cell>
        </row>
        <row r="1015">
          <cell r="A1015">
            <v>1581205</v>
          </cell>
          <cell r="B1015" t="str">
            <v>-</v>
          </cell>
          <cell r="C1015">
            <v>4183</v>
          </cell>
          <cell r="D1015" t="str">
            <v>225/45 R17</v>
          </cell>
          <cell r="E1015">
            <v>91</v>
          </cell>
          <cell r="F1015" t="str">
            <v>Y</v>
          </cell>
          <cell r="G1015" t="str">
            <v>HECTORRA 5</v>
          </cell>
          <cell r="H1015">
            <v>1581205</v>
          </cell>
          <cell r="I1015">
            <v>52063</v>
          </cell>
          <cell r="J1015">
            <v>0</v>
          </cell>
          <cell r="K1015" t="str">
            <v>P4</v>
          </cell>
          <cell r="L1015" t="str">
            <v>YYRYY</v>
          </cell>
          <cell r="M1015" t="str">
            <v>Y</v>
          </cell>
          <cell r="N1015" t="str">
            <v>Y</v>
          </cell>
          <cell r="O1015" t="str">
            <v>R</v>
          </cell>
          <cell r="P1015" t="str">
            <v>Y</v>
          </cell>
          <cell r="Q1015" t="str">
            <v>Y</v>
          </cell>
          <cell r="R1015" t="str">
            <v>-</v>
          </cell>
        </row>
        <row r="1016">
          <cell r="A1016">
            <v>1581211</v>
          </cell>
          <cell r="B1016">
            <v>219</v>
          </cell>
          <cell r="C1016">
            <v>2173</v>
          </cell>
          <cell r="D1016" t="str">
            <v>235/55 R18</v>
          </cell>
          <cell r="E1016">
            <v>104</v>
          </cell>
          <cell r="F1016" t="str">
            <v>V</v>
          </cell>
          <cell r="G1016" t="str">
            <v>HECTORRA 5 XL</v>
          </cell>
          <cell r="H1016">
            <v>1581211</v>
          </cell>
          <cell r="I1016">
            <v>52220</v>
          </cell>
          <cell r="J1016">
            <v>0</v>
          </cell>
          <cell r="K1016" t="str">
            <v>P4</v>
          </cell>
          <cell r="L1016" t="str">
            <v>RWGO</v>
          </cell>
          <cell r="M1016" t="str">
            <v>R</v>
          </cell>
          <cell r="N1016" t="str">
            <v>W</v>
          </cell>
          <cell r="O1016" t="str">
            <v>G</v>
          </cell>
          <cell r="P1016" t="str">
            <v>O</v>
          </cell>
          <cell r="Q1016" t="str">
            <v/>
          </cell>
          <cell r="R1016" t="str">
            <v>-</v>
          </cell>
        </row>
        <row r="1017">
          <cell r="A1017">
            <v>1581212</v>
          </cell>
          <cell r="B1017" t="str">
            <v>-</v>
          </cell>
          <cell r="C1017">
            <v>2273</v>
          </cell>
          <cell r="D1017" t="str">
            <v>235/55 R18</v>
          </cell>
          <cell r="E1017">
            <v>100</v>
          </cell>
          <cell r="F1017" t="str">
            <v>V</v>
          </cell>
          <cell r="G1017" t="str">
            <v>HECTORRA 5</v>
          </cell>
          <cell r="H1017">
            <v>1581212</v>
          </cell>
          <cell r="I1017">
            <v>52735</v>
          </cell>
          <cell r="J1017">
            <v>0</v>
          </cell>
          <cell r="K1017" t="str">
            <v>P4</v>
          </cell>
          <cell r="L1017" t="str">
            <v>YROA</v>
          </cell>
          <cell r="M1017" t="str">
            <v>Y</v>
          </cell>
          <cell r="N1017" t="str">
            <v>R</v>
          </cell>
          <cell r="O1017" t="str">
            <v>O</v>
          </cell>
          <cell r="P1017" t="str">
            <v>A</v>
          </cell>
          <cell r="Q1017" t="str">
            <v/>
          </cell>
          <cell r="R1017" t="str">
            <v>-</v>
          </cell>
        </row>
        <row r="1018">
          <cell r="A1018">
            <v>1581218</v>
          </cell>
          <cell r="B1018" t="str">
            <v>-</v>
          </cell>
          <cell r="C1018">
            <v>58025</v>
          </cell>
          <cell r="D1018" t="str">
            <v>255/35 R19</v>
          </cell>
          <cell r="E1018">
            <v>96</v>
          </cell>
          <cell r="F1018" t="str">
            <v>Y</v>
          </cell>
          <cell r="G1018" t="str">
            <v>HECTORRA 5 XL</v>
          </cell>
          <cell r="H1018">
            <v>1581218</v>
          </cell>
          <cell r="I1018">
            <v>52870</v>
          </cell>
          <cell r="J1018">
            <v>0</v>
          </cell>
          <cell r="K1018" t="str">
            <v>P0</v>
          </cell>
          <cell r="L1018" t="str">
            <v>AAAAR</v>
          </cell>
          <cell r="M1018" t="str">
            <v>A</v>
          </cell>
          <cell r="N1018" t="str">
            <v>A</v>
          </cell>
          <cell r="O1018" t="str">
            <v>A</v>
          </cell>
          <cell r="P1018" t="str">
            <v>A</v>
          </cell>
          <cell r="Q1018" t="str">
            <v>R</v>
          </cell>
          <cell r="R1018" t="str">
            <v>-</v>
          </cell>
        </row>
        <row r="1019">
          <cell r="A1019">
            <v>1581224</v>
          </cell>
          <cell r="B1019" t="str">
            <v>-</v>
          </cell>
          <cell r="C1019">
            <v>2102</v>
          </cell>
          <cell r="D1019" t="str">
            <v>225/55 R19</v>
          </cell>
          <cell r="E1019">
            <v>99</v>
          </cell>
          <cell r="F1019" t="str">
            <v>V</v>
          </cell>
          <cell r="G1019" t="str">
            <v>HECTORRA 5</v>
          </cell>
          <cell r="H1019">
            <v>1581224</v>
          </cell>
          <cell r="I1019">
            <v>52824</v>
          </cell>
          <cell r="J1019">
            <v>0</v>
          </cell>
          <cell r="K1019" t="str">
            <v>P4</v>
          </cell>
          <cell r="L1019" t="str">
            <v>AAOGW</v>
          </cell>
          <cell r="M1019" t="str">
            <v>A</v>
          </cell>
          <cell r="N1019" t="str">
            <v>A</v>
          </cell>
          <cell r="O1019" t="str">
            <v>O</v>
          </cell>
          <cell r="P1019" t="str">
            <v>G</v>
          </cell>
          <cell r="Q1019" t="str">
            <v>W</v>
          </cell>
          <cell r="R1019" t="str">
            <v>-</v>
          </cell>
        </row>
        <row r="1020">
          <cell r="A1020">
            <v>1581226</v>
          </cell>
          <cell r="B1020" t="str">
            <v>-</v>
          </cell>
          <cell r="C1020">
            <v>5073</v>
          </cell>
          <cell r="D1020" t="str">
            <v>235/50 R19</v>
          </cell>
          <cell r="E1020">
            <v>99</v>
          </cell>
          <cell r="F1020" t="str">
            <v>V</v>
          </cell>
          <cell r="G1020" t="str">
            <v>HECTORRA 5</v>
          </cell>
          <cell r="H1020">
            <v>1581226</v>
          </cell>
          <cell r="I1020">
            <v>52104</v>
          </cell>
          <cell r="J1020">
            <v>0</v>
          </cell>
          <cell r="K1020" t="str">
            <v>P4</v>
          </cell>
          <cell r="L1020" t="str">
            <v>WWR</v>
          </cell>
          <cell r="M1020" t="str">
            <v>W</v>
          </cell>
          <cell r="N1020" t="str">
            <v>W</v>
          </cell>
          <cell r="O1020" t="str">
            <v>R</v>
          </cell>
          <cell r="P1020" t="str">
            <v/>
          </cell>
          <cell r="Q1020" t="str">
            <v/>
          </cell>
          <cell r="R1020" t="str">
            <v>-</v>
          </cell>
        </row>
        <row r="1021">
          <cell r="A1021">
            <v>1581228</v>
          </cell>
          <cell r="B1021" t="str">
            <v>-</v>
          </cell>
          <cell r="C1021">
            <v>4207</v>
          </cell>
          <cell r="D1021" t="str">
            <v>205/45 R16</v>
          </cell>
          <cell r="E1021">
            <v>83</v>
          </cell>
          <cell r="F1021" t="str">
            <v>Y</v>
          </cell>
          <cell r="G1021" t="str">
            <v>HECTORRA 5</v>
          </cell>
          <cell r="H1021">
            <v>1581228</v>
          </cell>
          <cell r="I1021">
            <v>52184</v>
          </cell>
          <cell r="J1021">
            <v>0</v>
          </cell>
          <cell r="K1021" t="str">
            <v>P4</v>
          </cell>
          <cell r="L1021" t="str">
            <v>GORY</v>
          </cell>
          <cell r="M1021" t="str">
            <v>G</v>
          </cell>
          <cell r="N1021" t="str">
            <v>O</v>
          </cell>
          <cell r="O1021" t="str">
            <v>R</v>
          </cell>
          <cell r="P1021" t="str">
            <v>Y</v>
          </cell>
          <cell r="Q1021" t="str">
            <v/>
          </cell>
          <cell r="R1021" t="str">
            <v>-</v>
          </cell>
        </row>
        <row r="1022">
          <cell r="A1022">
            <v>1581240</v>
          </cell>
          <cell r="B1022" t="str">
            <v>-</v>
          </cell>
          <cell r="C1022">
            <v>3120</v>
          </cell>
          <cell r="D1022" t="str">
            <v>165/60 R15</v>
          </cell>
          <cell r="E1022">
            <v>77</v>
          </cell>
          <cell r="F1022" t="str">
            <v>H</v>
          </cell>
          <cell r="G1022" t="str">
            <v>HECTORRA 5</v>
          </cell>
          <cell r="H1022">
            <v>1581240</v>
          </cell>
          <cell r="I1022">
            <v>52917</v>
          </cell>
          <cell r="J1022">
            <v>0</v>
          </cell>
          <cell r="K1022" t="str">
            <v>P2</v>
          </cell>
          <cell r="L1022" t="str">
            <v>AAG</v>
          </cell>
          <cell r="M1022" t="str">
            <v>A</v>
          </cell>
          <cell r="N1022" t="str">
            <v>A</v>
          </cell>
          <cell r="O1022" t="str">
            <v>G</v>
          </cell>
          <cell r="P1022" t="str">
            <v/>
          </cell>
          <cell r="Q1022" t="str">
            <v/>
          </cell>
          <cell r="R1022" t="str">
            <v>-</v>
          </cell>
        </row>
        <row r="1023">
          <cell r="A1023">
            <v>1581244</v>
          </cell>
          <cell r="B1023" t="str">
            <v>-</v>
          </cell>
          <cell r="C1023">
            <v>5059</v>
          </cell>
          <cell r="D1023" t="str">
            <v>205/45 R17</v>
          </cell>
          <cell r="E1023">
            <v>88</v>
          </cell>
          <cell r="F1023" t="str">
            <v>V</v>
          </cell>
          <cell r="G1023" t="str">
            <v>HECTORRA 5</v>
          </cell>
          <cell r="H1023">
            <v>1581244</v>
          </cell>
          <cell r="I1023">
            <v>52723</v>
          </cell>
          <cell r="J1023">
            <v>0</v>
          </cell>
          <cell r="K1023" t="str">
            <v>P2</v>
          </cell>
          <cell r="L1023" t="str">
            <v>AWY</v>
          </cell>
          <cell r="M1023" t="str">
            <v>A</v>
          </cell>
          <cell r="N1023" t="str">
            <v>W</v>
          </cell>
          <cell r="O1023" t="str">
            <v>Y</v>
          </cell>
          <cell r="P1023" t="str">
            <v/>
          </cell>
          <cell r="Q1023" t="str">
            <v/>
          </cell>
          <cell r="R1023" t="str">
            <v>-</v>
          </cell>
        </row>
        <row r="1024">
          <cell r="A1024">
            <v>1581245</v>
          </cell>
          <cell r="B1024" t="str">
            <v>-</v>
          </cell>
          <cell r="C1024">
            <v>2055</v>
          </cell>
          <cell r="D1024" t="str">
            <v>215/65 R17</v>
          </cell>
          <cell r="E1024">
            <v>99</v>
          </cell>
          <cell r="F1024" t="str">
            <v>V</v>
          </cell>
          <cell r="G1024" t="str">
            <v>HECTORRA 5</v>
          </cell>
          <cell r="H1024">
            <v>1581245</v>
          </cell>
          <cell r="I1024">
            <v>52033</v>
          </cell>
          <cell r="J1024">
            <v>0</v>
          </cell>
          <cell r="K1024" t="str">
            <v>P0</v>
          </cell>
          <cell r="L1024" t="str">
            <v>AAWAW</v>
          </cell>
          <cell r="M1024" t="str">
            <v>A</v>
          </cell>
          <cell r="N1024" t="str">
            <v>A</v>
          </cell>
          <cell r="O1024" t="str">
            <v>W</v>
          </cell>
          <cell r="P1024" t="str">
            <v>A</v>
          </cell>
          <cell r="Q1024" t="str">
            <v>W</v>
          </cell>
          <cell r="R1024" t="str">
            <v>-</v>
          </cell>
        </row>
        <row r="1025">
          <cell r="A1025">
            <v>1581250</v>
          </cell>
          <cell r="B1025" t="str">
            <v>-</v>
          </cell>
          <cell r="C1025">
            <v>6070</v>
          </cell>
          <cell r="D1025" t="str">
            <v>185/55 R16</v>
          </cell>
          <cell r="E1025">
            <v>83</v>
          </cell>
          <cell r="F1025" t="str">
            <v>V</v>
          </cell>
          <cell r="G1025" t="str">
            <v>HECTORRA 5</v>
          </cell>
          <cell r="H1025">
            <v>1581250</v>
          </cell>
          <cell r="I1025">
            <v>52511</v>
          </cell>
          <cell r="J1025">
            <v>0</v>
          </cell>
          <cell r="K1025" t="str">
            <v>P2</v>
          </cell>
          <cell r="L1025" t="str">
            <v>WOW</v>
          </cell>
          <cell r="M1025" t="str">
            <v>W</v>
          </cell>
          <cell r="N1025" t="str">
            <v>O</v>
          </cell>
          <cell r="O1025" t="str">
            <v>W</v>
          </cell>
          <cell r="P1025" t="str">
            <v/>
          </cell>
          <cell r="Q1025" t="str">
            <v/>
          </cell>
          <cell r="R1025" t="str">
            <v>-</v>
          </cell>
        </row>
        <row r="1026">
          <cell r="A1026">
            <v>1581258</v>
          </cell>
          <cell r="B1026" t="str">
            <v>-</v>
          </cell>
          <cell r="C1026">
            <v>4007</v>
          </cell>
          <cell r="D1026" t="str">
            <v>205/45 R16</v>
          </cell>
          <cell r="E1026">
            <v>83</v>
          </cell>
          <cell r="F1026" t="str">
            <v>Y</v>
          </cell>
          <cell r="G1026" t="str">
            <v>HECTORRA 5</v>
          </cell>
          <cell r="H1026">
            <v>1581258</v>
          </cell>
          <cell r="I1026">
            <v>52620</v>
          </cell>
          <cell r="J1026">
            <v>0</v>
          </cell>
          <cell r="K1026" t="str">
            <v>P4</v>
          </cell>
          <cell r="L1026" t="str">
            <v>AORW</v>
          </cell>
          <cell r="M1026" t="str">
            <v>A</v>
          </cell>
          <cell r="N1026" t="str">
            <v>O</v>
          </cell>
          <cell r="O1026" t="str">
            <v>R</v>
          </cell>
          <cell r="P1026" t="str">
            <v>W</v>
          </cell>
          <cell r="Q1026" t="str">
            <v/>
          </cell>
          <cell r="R1026" t="str">
            <v>-</v>
          </cell>
        </row>
        <row r="1027">
          <cell r="A1027">
            <v>1585452</v>
          </cell>
          <cell r="B1027">
            <v>364</v>
          </cell>
          <cell r="C1027">
            <v>5021</v>
          </cell>
          <cell r="D1027" t="str">
            <v>165/65 R15</v>
          </cell>
          <cell r="E1027">
            <v>81</v>
          </cell>
          <cell r="F1027" t="str">
            <v>T</v>
          </cell>
          <cell r="G1027" t="str">
            <v>MP93</v>
          </cell>
          <cell r="H1027">
            <v>1585452</v>
          </cell>
          <cell r="I1027">
            <v>52456</v>
          </cell>
          <cell r="J1027">
            <v>0</v>
          </cell>
          <cell r="K1027" t="str">
            <v>P8</v>
          </cell>
          <cell r="L1027" t="str">
            <v>GAY</v>
          </cell>
          <cell r="M1027" t="str">
            <v>G</v>
          </cell>
          <cell r="N1027" t="str">
            <v>A</v>
          </cell>
          <cell r="O1027" t="str">
            <v>Y</v>
          </cell>
          <cell r="P1027" t="str">
            <v/>
          </cell>
          <cell r="Q1027" t="str">
            <v/>
          </cell>
          <cell r="R1027" t="str">
            <v>-</v>
          </cell>
        </row>
        <row r="1028">
          <cell r="A1028">
            <v>1585456</v>
          </cell>
          <cell r="B1028" t="str">
            <v>-</v>
          </cell>
          <cell r="C1028">
            <v>3050</v>
          </cell>
          <cell r="D1028" t="str">
            <v>195/65 R15</v>
          </cell>
          <cell r="E1028">
            <v>91</v>
          </cell>
          <cell r="F1028" t="str">
            <v>T</v>
          </cell>
          <cell r="G1028" t="str">
            <v>NORDICCA</v>
          </cell>
          <cell r="H1028">
            <v>1585456</v>
          </cell>
          <cell r="I1028">
            <v>52906</v>
          </cell>
          <cell r="J1028">
            <v>0</v>
          </cell>
          <cell r="K1028" t="str">
            <v>P0</v>
          </cell>
          <cell r="L1028" t="str">
            <v>AGAGA</v>
          </cell>
          <cell r="M1028" t="str">
            <v>A</v>
          </cell>
          <cell r="N1028" t="str">
            <v>G</v>
          </cell>
          <cell r="O1028" t="str">
            <v>A</v>
          </cell>
          <cell r="P1028" t="str">
            <v>G</v>
          </cell>
          <cell r="Q1028" t="str">
            <v>A</v>
          </cell>
          <cell r="R1028" t="str">
            <v>-</v>
          </cell>
        </row>
        <row r="1029">
          <cell r="A1029">
            <v>1585469</v>
          </cell>
          <cell r="B1029">
            <v>722</v>
          </cell>
          <cell r="C1029">
            <v>3008</v>
          </cell>
          <cell r="D1029" t="str">
            <v>195/60 R16</v>
          </cell>
          <cell r="E1029">
            <v>89</v>
          </cell>
          <cell r="F1029" t="str">
            <v>H</v>
          </cell>
          <cell r="G1029" t="str">
            <v>NORDICCA</v>
          </cell>
          <cell r="H1029">
            <v>1585469</v>
          </cell>
          <cell r="I1029">
            <v>52701</v>
          </cell>
          <cell r="J1029">
            <v>0</v>
          </cell>
          <cell r="K1029" t="str">
            <v>P4</v>
          </cell>
          <cell r="L1029" t="str">
            <v>GWY</v>
          </cell>
          <cell r="M1029" t="str">
            <v>G</v>
          </cell>
          <cell r="N1029" t="str">
            <v>W</v>
          </cell>
          <cell r="O1029" t="str">
            <v>Y</v>
          </cell>
          <cell r="P1029" t="str">
            <v/>
          </cell>
          <cell r="Q1029" t="str">
            <v/>
          </cell>
          <cell r="R1029" t="str">
            <v>-</v>
          </cell>
        </row>
        <row r="1030">
          <cell r="A1030">
            <v>1585479</v>
          </cell>
          <cell r="B1030">
            <v>359</v>
          </cell>
          <cell r="C1030">
            <v>3076</v>
          </cell>
          <cell r="D1030" t="str">
            <v>195/50 R16</v>
          </cell>
          <cell r="E1030">
            <v>88</v>
          </cell>
          <cell r="F1030" t="str">
            <v>H</v>
          </cell>
          <cell r="G1030" t="str">
            <v>NORDICCA XL</v>
          </cell>
          <cell r="H1030">
            <v>1585479</v>
          </cell>
          <cell r="I1030">
            <v>52355</v>
          </cell>
          <cell r="J1030">
            <v>0</v>
          </cell>
          <cell r="K1030" t="str">
            <v>P8</v>
          </cell>
          <cell r="L1030" t="str">
            <v>OGR</v>
          </cell>
          <cell r="M1030" t="str">
            <v>O</v>
          </cell>
          <cell r="N1030" t="str">
            <v>G</v>
          </cell>
          <cell r="O1030" t="str">
            <v>R</v>
          </cell>
          <cell r="P1030" t="str">
            <v/>
          </cell>
          <cell r="Q1030" t="str">
            <v/>
          </cell>
          <cell r="R1030" t="str">
            <v>-</v>
          </cell>
        </row>
        <row r="1031">
          <cell r="A1031">
            <v>1585480</v>
          </cell>
          <cell r="B1031">
            <v>537</v>
          </cell>
          <cell r="C1031">
            <v>5179</v>
          </cell>
          <cell r="D1031" t="str">
            <v>215/45 R16</v>
          </cell>
          <cell r="E1031">
            <v>90</v>
          </cell>
          <cell r="F1031" t="str">
            <v>V</v>
          </cell>
          <cell r="G1031" t="str">
            <v>NORDICCA MP93 XL</v>
          </cell>
          <cell r="H1031">
            <v>1585480</v>
          </cell>
          <cell r="I1031">
            <v>52527</v>
          </cell>
          <cell r="J1031">
            <v>0</v>
          </cell>
          <cell r="K1031" t="str">
            <v>P4</v>
          </cell>
          <cell r="L1031" t="str">
            <v>RRYO</v>
          </cell>
          <cell r="M1031" t="str">
            <v>R</v>
          </cell>
          <cell r="N1031" t="str">
            <v>R</v>
          </cell>
          <cell r="O1031" t="str">
            <v>Y</v>
          </cell>
          <cell r="P1031" t="str">
            <v>O</v>
          </cell>
          <cell r="Q1031" t="str">
            <v/>
          </cell>
          <cell r="R1031" t="str">
            <v>-</v>
          </cell>
        </row>
        <row r="1032">
          <cell r="A1032">
            <v>1585488</v>
          </cell>
          <cell r="B1032">
            <v>183</v>
          </cell>
          <cell r="C1032">
            <v>3009</v>
          </cell>
          <cell r="D1032" t="str">
            <v>205/55 R17</v>
          </cell>
          <cell r="E1032">
            <v>95</v>
          </cell>
          <cell r="F1032" t="str">
            <v>V</v>
          </cell>
          <cell r="G1032" t="str">
            <v>NORDICCA MP93 XL</v>
          </cell>
          <cell r="H1032">
            <v>1585488</v>
          </cell>
          <cell r="I1032">
            <v>52183</v>
          </cell>
          <cell r="J1032">
            <v>0</v>
          </cell>
          <cell r="K1032" t="str">
            <v>P4</v>
          </cell>
          <cell r="L1032" t="str">
            <v>AAARW</v>
          </cell>
          <cell r="M1032" t="str">
            <v>A</v>
          </cell>
          <cell r="N1032" t="str">
            <v>A</v>
          </cell>
          <cell r="O1032" t="str">
            <v>A</v>
          </cell>
          <cell r="P1032" t="str">
            <v>R</v>
          </cell>
          <cell r="Q1032" t="str">
            <v>W</v>
          </cell>
          <cell r="R1032" t="str">
            <v>-</v>
          </cell>
        </row>
        <row r="1033">
          <cell r="A1033">
            <v>1585489</v>
          </cell>
          <cell r="B1033">
            <v>665</v>
          </cell>
          <cell r="C1033">
            <v>4129</v>
          </cell>
          <cell r="D1033" t="str">
            <v>215/55 R17</v>
          </cell>
          <cell r="E1033">
            <v>98</v>
          </cell>
          <cell r="F1033" t="str">
            <v>V</v>
          </cell>
          <cell r="G1033" t="str">
            <v>NORDICCA MP93 XL</v>
          </cell>
          <cell r="H1033">
            <v>1585489</v>
          </cell>
          <cell r="I1033">
            <v>52671</v>
          </cell>
          <cell r="J1033">
            <v>0</v>
          </cell>
          <cell r="K1033" t="str">
            <v>P4</v>
          </cell>
          <cell r="L1033" t="str">
            <v>YYRWR</v>
          </cell>
          <cell r="M1033" t="str">
            <v>Y</v>
          </cell>
          <cell r="N1033" t="str">
            <v>Y</v>
          </cell>
          <cell r="O1033" t="str">
            <v>R</v>
          </cell>
          <cell r="P1033" t="str">
            <v>W</v>
          </cell>
          <cell r="Q1033" t="str">
            <v>R</v>
          </cell>
          <cell r="R1033" t="str">
            <v>-</v>
          </cell>
        </row>
        <row r="1034">
          <cell r="A1034">
            <v>1585492</v>
          </cell>
          <cell r="B1034">
            <v>353</v>
          </cell>
          <cell r="C1034">
            <v>31</v>
          </cell>
          <cell r="D1034" t="str">
            <v>205/50 R17</v>
          </cell>
          <cell r="E1034">
            <v>93</v>
          </cell>
          <cell r="F1034" t="str">
            <v>V</v>
          </cell>
          <cell r="G1034" t="str">
            <v>NORDICCA MP93 XL</v>
          </cell>
          <cell r="H1034">
            <v>1585492</v>
          </cell>
          <cell r="I1034">
            <v>52353</v>
          </cell>
          <cell r="J1034">
            <v>0</v>
          </cell>
          <cell r="K1034" t="str">
            <v>P4</v>
          </cell>
          <cell r="L1034" t="str">
            <v>YYYY</v>
          </cell>
          <cell r="M1034" t="str">
            <v>Y</v>
          </cell>
          <cell r="N1034" t="str">
            <v>Y</v>
          </cell>
          <cell r="O1034" t="str">
            <v>Y</v>
          </cell>
          <cell r="P1034" t="str">
            <v>Y</v>
          </cell>
          <cell r="Q1034" t="str">
            <v/>
          </cell>
          <cell r="R1034" t="str">
            <v>-</v>
          </cell>
        </row>
        <row r="1035">
          <cell r="A1035">
            <v>1585493</v>
          </cell>
          <cell r="B1035">
            <v>595</v>
          </cell>
          <cell r="C1035">
            <v>94</v>
          </cell>
          <cell r="D1035" t="str">
            <v>215/50 R17</v>
          </cell>
          <cell r="E1035">
            <v>95</v>
          </cell>
          <cell r="F1035" t="str">
            <v>V</v>
          </cell>
          <cell r="G1035" t="str">
            <v>NORDICCA MP93 XL</v>
          </cell>
          <cell r="H1035">
            <v>1585493</v>
          </cell>
          <cell r="I1035">
            <v>52694</v>
          </cell>
          <cell r="J1035">
            <v>0</v>
          </cell>
          <cell r="K1035" t="str">
            <v>P4</v>
          </cell>
          <cell r="L1035" t="str">
            <v>WW</v>
          </cell>
          <cell r="M1035" t="str">
            <v>W</v>
          </cell>
          <cell r="N1035" t="str">
            <v>W</v>
          </cell>
          <cell r="O1035" t="str">
            <v/>
          </cell>
          <cell r="P1035" t="str">
            <v/>
          </cell>
          <cell r="Q1035" t="str">
            <v/>
          </cell>
          <cell r="R1035" t="str">
            <v>-</v>
          </cell>
        </row>
        <row r="1036">
          <cell r="A1036">
            <v>1585495</v>
          </cell>
          <cell r="B1036">
            <v>68</v>
          </cell>
          <cell r="C1036">
            <v>58021</v>
          </cell>
          <cell r="D1036" t="str">
            <v>205/45 R17</v>
          </cell>
          <cell r="E1036">
            <v>88</v>
          </cell>
          <cell r="F1036" t="str">
            <v>V</v>
          </cell>
          <cell r="G1036" t="str">
            <v>MP93 XL</v>
          </cell>
          <cell r="H1036">
            <v>1585495</v>
          </cell>
          <cell r="I1036">
            <v>52067</v>
          </cell>
          <cell r="J1036">
            <v>0</v>
          </cell>
          <cell r="K1036" t="str">
            <v>P4</v>
          </cell>
          <cell r="L1036" t="str">
            <v>AAAAA</v>
          </cell>
          <cell r="M1036" t="str">
            <v>A</v>
          </cell>
          <cell r="N1036" t="str">
            <v>A</v>
          </cell>
          <cell r="O1036" t="str">
            <v>A</v>
          </cell>
          <cell r="P1036" t="str">
            <v>A</v>
          </cell>
          <cell r="Q1036" t="str">
            <v>A</v>
          </cell>
          <cell r="R1036" t="str">
            <v>-</v>
          </cell>
        </row>
        <row r="1037">
          <cell r="A1037">
            <v>1585500</v>
          </cell>
          <cell r="B1037">
            <v>279</v>
          </cell>
          <cell r="C1037">
            <v>58080</v>
          </cell>
          <cell r="D1037" t="str">
            <v>215/40 R17</v>
          </cell>
          <cell r="E1037">
            <v>87</v>
          </cell>
          <cell r="F1037" t="str">
            <v>V</v>
          </cell>
          <cell r="G1037" t="str">
            <v>NORDICCA MP93 XL</v>
          </cell>
          <cell r="H1037">
            <v>1585500</v>
          </cell>
          <cell r="I1037">
            <v>52179</v>
          </cell>
          <cell r="J1037">
            <v>0</v>
          </cell>
          <cell r="K1037" t="str">
            <v>P4</v>
          </cell>
          <cell r="L1037" t="str">
            <v>AAOY</v>
          </cell>
          <cell r="M1037" t="str">
            <v>A</v>
          </cell>
          <cell r="N1037" t="str">
            <v>A</v>
          </cell>
          <cell r="O1037" t="str">
            <v>O</v>
          </cell>
          <cell r="P1037" t="str">
            <v>Y</v>
          </cell>
          <cell r="Q1037" t="str">
            <v/>
          </cell>
          <cell r="R1037" t="str">
            <v>-</v>
          </cell>
        </row>
        <row r="1038">
          <cell r="A1038">
            <v>1585502</v>
          </cell>
          <cell r="B1038" t="str">
            <v>-</v>
          </cell>
          <cell r="C1038">
            <v>5041</v>
          </cell>
          <cell r="D1038" t="str">
            <v>235/60 R18</v>
          </cell>
          <cell r="E1038">
            <v>107</v>
          </cell>
          <cell r="F1038" t="str">
            <v>V</v>
          </cell>
          <cell r="G1038" t="str">
            <v>NORDICCA XL</v>
          </cell>
          <cell r="H1038">
            <v>1585502</v>
          </cell>
          <cell r="I1038">
            <v>52333</v>
          </cell>
          <cell r="J1038">
            <v>0</v>
          </cell>
          <cell r="K1038" t="str">
            <v>P4</v>
          </cell>
          <cell r="L1038" t="str">
            <v>GGO</v>
          </cell>
          <cell r="M1038" t="str">
            <v>G</v>
          </cell>
          <cell r="N1038" t="str">
            <v>G</v>
          </cell>
          <cell r="O1038" t="str">
            <v>O</v>
          </cell>
          <cell r="P1038" t="str">
            <v/>
          </cell>
          <cell r="Q1038" t="str">
            <v/>
          </cell>
          <cell r="R1038" t="str">
            <v>-</v>
          </cell>
        </row>
        <row r="1039">
          <cell r="A1039">
            <v>1585509</v>
          </cell>
          <cell r="B1039">
            <v>216</v>
          </cell>
          <cell r="C1039">
            <v>2096</v>
          </cell>
          <cell r="D1039" t="str">
            <v>235/50 R18</v>
          </cell>
          <cell r="E1039">
            <v>101</v>
          </cell>
          <cell r="F1039" t="str">
            <v>V</v>
          </cell>
          <cell r="G1039" t="str">
            <v>NORDICCA XL</v>
          </cell>
          <cell r="H1039">
            <v>1585509</v>
          </cell>
          <cell r="I1039">
            <v>52215</v>
          </cell>
          <cell r="J1039">
            <v>0</v>
          </cell>
          <cell r="K1039" t="str">
            <v>P4</v>
          </cell>
          <cell r="L1039" t="str">
            <v>GWY</v>
          </cell>
          <cell r="M1039" t="str">
            <v>G</v>
          </cell>
          <cell r="N1039" t="str">
            <v>W</v>
          </cell>
          <cell r="O1039" t="str">
            <v>Y</v>
          </cell>
          <cell r="P1039" t="str">
            <v/>
          </cell>
          <cell r="Q1039" t="str">
            <v/>
          </cell>
          <cell r="R1039" t="str">
            <v>-</v>
          </cell>
        </row>
        <row r="1040">
          <cell r="A1040">
            <v>1585513</v>
          </cell>
          <cell r="B1040">
            <v>687</v>
          </cell>
          <cell r="C1040">
            <v>58005</v>
          </cell>
          <cell r="D1040" t="str">
            <v>225/40 R18</v>
          </cell>
          <cell r="E1040">
            <v>92</v>
          </cell>
          <cell r="F1040" t="str">
            <v>V</v>
          </cell>
          <cell r="G1040" t="str">
            <v>NORDICCA MP93 XL</v>
          </cell>
          <cell r="H1040">
            <v>1585513</v>
          </cell>
          <cell r="I1040">
            <v>52837</v>
          </cell>
          <cell r="J1040">
            <v>0</v>
          </cell>
          <cell r="K1040" t="str">
            <v>P4</v>
          </cell>
          <cell r="L1040" t="str">
            <v>AARG</v>
          </cell>
          <cell r="M1040" t="str">
            <v>A</v>
          </cell>
          <cell r="N1040" t="str">
            <v>A</v>
          </cell>
          <cell r="O1040" t="str">
            <v>R</v>
          </cell>
          <cell r="P1040" t="str">
            <v>G</v>
          </cell>
          <cell r="Q1040" t="str">
            <v/>
          </cell>
          <cell r="R1040" t="str">
            <v>-</v>
          </cell>
        </row>
        <row r="1041">
          <cell r="A1041">
            <v>1585515</v>
          </cell>
          <cell r="B1041">
            <v>356</v>
          </cell>
          <cell r="C1041">
            <v>58246</v>
          </cell>
          <cell r="D1041" t="str">
            <v>245/40 R18</v>
          </cell>
          <cell r="E1041">
            <v>97</v>
          </cell>
          <cell r="F1041" t="str">
            <v>V</v>
          </cell>
          <cell r="G1041" t="str">
            <v>NORDICCA XL</v>
          </cell>
          <cell r="H1041">
            <v>1585515</v>
          </cell>
          <cell r="I1041">
            <v>52543</v>
          </cell>
          <cell r="J1041">
            <v>0</v>
          </cell>
          <cell r="K1041" t="str">
            <v>P4</v>
          </cell>
          <cell r="L1041" t="str">
            <v>GYWGY</v>
          </cell>
          <cell r="M1041" t="str">
            <v>G</v>
          </cell>
          <cell r="N1041" t="str">
            <v>Y</v>
          </cell>
          <cell r="O1041" t="str">
            <v>W</v>
          </cell>
          <cell r="P1041" t="str">
            <v>G</v>
          </cell>
          <cell r="Q1041" t="str">
            <v>Y</v>
          </cell>
          <cell r="R1041" t="str">
            <v>-</v>
          </cell>
        </row>
        <row r="1042">
          <cell r="A1042">
            <v>1585516</v>
          </cell>
          <cell r="B1042" t="str">
            <v>-</v>
          </cell>
          <cell r="C1042">
            <v>5030</v>
          </cell>
          <cell r="D1042" t="str">
            <v>235/55 R19</v>
          </cell>
          <cell r="E1042">
            <v>105</v>
          </cell>
          <cell r="F1042" t="str">
            <v>V</v>
          </cell>
          <cell r="G1042" t="str">
            <v>MP93 NORDICCA XL</v>
          </cell>
          <cell r="H1042">
            <v>1585516</v>
          </cell>
          <cell r="I1042">
            <v>52316</v>
          </cell>
          <cell r="J1042">
            <v>0</v>
          </cell>
          <cell r="K1042" t="str">
            <v>P3</v>
          </cell>
          <cell r="L1042" t="str">
            <v>YYYYY</v>
          </cell>
          <cell r="M1042" t="str">
            <v>Y</v>
          </cell>
          <cell r="N1042" t="str">
            <v>Y</v>
          </cell>
          <cell r="O1042" t="str">
            <v>Y</v>
          </cell>
          <cell r="P1042" t="str">
            <v>Y</v>
          </cell>
          <cell r="Q1042" t="str">
            <v>Y</v>
          </cell>
          <cell r="R1042" t="str">
            <v>-</v>
          </cell>
        </row>
        <row r="1043">
          <cell r="A1043">
            <v>1585517</v>
          </cell>
          <cell r="B1043">
            <v>513</v>
          </cell>
          <cell r="C1043">
            <v>4057</v>
          </cell>
          <cell r="D1043" t="str">
            <v>235/50 R19</v>
          </cell>
          <cell r="E1043">
            <v>103</v>
          </cell>
          <cell r="F1043" t="str">
            <v>V</v>
          </cell>
          <cell r="G1043" t="str">
            <v>NORDICCA MP93 XL</v>
          </cell>
          <cell r="H1043">
            <v>1585517</v>
          </cell>
          <cell r="I1043">
            <v>52514</v>
          </cell>
          <cell r="J1043">
            <v>0</v>
          </cell>
          <cell r="K1043" t="str">
            <v>P4</v>
          </cell>
          <cell r="L1043" t="str">
            <v>WA</v>
          </cell>
          <cell r="M1043" t="str">
            <v>W</v>
          </cell>
          <cell r="N1043" t="str">
            <v>A</v>
          </cell>
          <cell r="O1043" t="str">
            <v/>
          </cell>
          <cell r="P1043" t="str">
            <v/>
          </cell>
          <cell r="Q1043" t="str">
            <v/>
          </cell>
          <cell r="R1043" t="str">
            <v>-</v>
          </cell>
        </row>
        <row r="1044">
          <cell r="A1044">
            <v>1585529</v>
          </cell>
          <cell r="B1044">
            <v>679</v>
          </cell>
          <cell r="C1044">
            <v>26</v>
          </cell>
          <cell r="D1044" t="str">
            <v>205/50 R17</v>
          </cell>
          <cell r="E1044">
            <v>93</v>
          </cell>
          <cell r="F1044" t="str">
            <v>W</v>
          </cell>
          <cell r="G1044" t="str">
            <v>MP62 XL</v>
          </cell>
          <cell r="H1044">
            <v>1585529</v>
          </cell>
          <cell r="I1044">
            <v>52679</v>
          </cell>
          <cell r="J1044">
            <v>0</v>
          </cell>
          <cell r="K1044" t="str">
            <v>P4</v>
          </cell>
          <cell r="L1044" t="str">
            <v>YYRWW</v>
          </cell>
          <cell r="M1044" t="str">
            <v>Y</v>
          </cell>
          <cell r="N1044" t="str">
            <v>Y</v>
          </cell>
          <cell r="O1044" t="str">
            <v>R</v>
          </cell>
          <cell r="P1044" t="str">
            <v>W</v>
          </cell>
          <cell r="Q1044" t="str">
            <v>W</v>
          </cell>
          <cell r="R1044" t="str">
            <v>-</v>
          </cell>
        </row>
        <row r="1045">
          <cell r="A1045" t="str">
            <v>VO00948</v>
          </cell>
          <cell r="B1045" t="str">
            <v>-</v>
          </cell>
          <cell r="C1045">
            <v>948</v>
          </cell>
          <cell r="D1045" t="str">
            <v>99/99 R99</v>
          </cell>
          <cell r="E1045">
            <v>999</v>
          </cell>
          <cell r="F1045" t="str">
            <v>-</v>
          </cell>
          <cell r="G1045" t="str">
            <v>ETO1_Nr = 519342</v>
          </cell>
          <cell r="H1045" t="str">
            <v>VO00948</v>
          </cell>
          <cell r="I1045">
            <v>52948</v>
          </cell>
          <cell r="J1045">
            <v>0</v>
          </cell>
          <cell r="K1045" t="str">
            <v>-</v>
          </cell>
          <cell r="L1045" t="str">
            <v>WWW</v>
          </cell>
          <cell r="M1045" t="str">
            <v>W</v>
          </cell>
          <cell r="N1045" t="str">
            <v>W</v>
          </cell>
          <cell r="O1045" t="str">
            <v>W</v>
          </cell>
          <cell r="P1045" t="str">
            <v/>
          </cell>
          <cell r="Q1045" t="str">
            <v/>
          </cell>
          <cell r="R1045" t="str">
            <v>-</v>
          </cell>
        </row>
        <row r="1046">
          <cell r="A1046" t="str">
            <v>VO00949</v>
          </cell>
          <cell r="B1046" t="str">
            <v>-</v>
          </cell>
          <cell r="C1046">
            <v>949</v>
          </cell>
          <cell r="D1046" t="str">
            <v>99/99 R99</v>
          </cell>
          <cell r="E1046">
            <v>999</v>
          </cell>
          <cell r="F1046" t="str">
            <v>-</v>
          </cell>
          <cell r="G1046" t="str">
            <v>ETO1_Nr = 519356</v>
          </cell>
          <cell r="H1046" t="str">
            <v>VO00949</v>
          </cell>
          <cell r="I1046">
            <v>52949</v>
          </cell>
          <cell r="J1046">
            <v>0</v>
          </cell>
          <cell r="K1046" t="str">
            <v>-</v>
          </cell>
          <cell r="L1046" t="str">
            <v>AWWW</v>
          </cell>
          <cell r="M1046" t="str">
            <v>A</v>
          </cell>
          <cell r="N1046" t="str">
            <v>W</v>
          </cell>
          <cell r="O1046" t="str">
            <v>W</v>
          </cell>
          <cell r="P1046" t="str">
            <v>W</v>
          </cell>
          <cell r="Q1046" t="str">
            <v/>
          </cell>
          <cell r="R1046" t="str">
            <v>-</v>
          </cell>
        </row>
        <row r="1047">
          <cell r="A1047" t="str">
            <v>VO00950</v>
          </cell>
          <cell r="B1047" t="str">
            <v>-</v>
          </cell>
          <cell r="C1047">
            <v>950</v>
          </cell>
          <cell r="D1047" t="str">
            <v>99/99 R99</v>
          </cell>
          <cell r="E1047">
            <v>999</v>
          </cell>
          <cell r="F1047" t="str">
            <v>-</v>
          </cell>
          <cell r="G1047" t="str">
            <v>ETO1_Nr = 520268</v>
          </cell>
          <cell r="H1047" t="str">
            <v>VO00950</v>
          </cell>
          <cell r="I1047">
            <v>52950</v>
          </cell>
          <cell r="J1047">
            <v>23</v>
          </cell>
          <cell r="K1047" t="str">
            <v>-</v>
          </cell>
          <cell r="L1047" t="str">
            <v>OWWW</v>
          </cell>
          <cell r="M1047" t="str">
            <v>O</v>
          </cell>
          <cell r="N1047" t="str">
            <v>W</v>
          </cell>
          <cell r="O1047" t="str">
            <v>W</v>
          </cell>
          <cell r="P1047" t="str">
            <v>W</v>
          </cell>
          <cell r="Q1047" t="str">
            <v/>
          </cell>
          <cell r="R1047" t="str">
            <v>-</v>
          </cell>
        </row>
        <row r="1048">
          <cell r="A1048" t="str">
            <v>VO00951</v>
          </cell>
          <cell r="B1048" t="str">
            <v>-</v>
          </cell>
          <cell r="C1048">
            <v>951</v>
          </cell>
          <cell r="D1048" t="str">
            <v>99/99 R99</v>
          </cell>
          <cell r="E1048">
            <v>999</v>
          </cell>
          <cell r="F1048" t="str">
            <v>-</v>
          </cell>
          <cell r="G1048" t="str">
            <v>ETO1_Nr = 517056</v>
          </cell>
          <cell r="H1048" t="str">
            <v>VO00951</v>
          </cell>
          <cell r="I1048">
            <v>52951</v>
          </cell>
          <cell r="J1048">
            <v>40</v>
          </cell>
          <cell r="K1048" t="str">
            <v>-</v>
          </cell>
          <cell r="L1048" t="str">
            <v>WWWW</v>
          </cell>
          <cell r="M1048" t="str">
            <v>W</v>
          </cell>
          <cell r="N1048" t="str">
            <v>W</v>
          </cell>
          <cell r="O1048" t="str">
            <v>W</v>
          </cell>
          <cell r="P1048" t="str">
            <v>W</v>
          </cell>
          <cell r="Q1048" t="str">
            <v/>
          </cell>
          <cell r="R1048" t="str">
            <v>-</v>
          </cell>
        </row>
        <row r="1049">
          <cell r="A1049" t="str">
            <v>VO00952</v>
          </cell>
          <cell r="B1049" t="str">
            <v>-</v>
          </cell>
          <cell r="C1049">
            <v>952</v>
          </cell>
          <cell r="D1049" t="str">
            <v>99/99 R99</v>
          </cell>
          <cell r="E1049">
            <v>999</v>
          </cell>
          <cell r="F1049" t="str">
            <v>-</v>
          </cell>
          <cell r="G1049" t="str">
            <v>ETO1_Nr = 517057</v>
          </cell>
          <cell r="H1049" t="str">
            <v>VO00952</v>
          </cell>
          <cell r="I1049">
            <v>52952</v>
          </cell>
          <cell r="J1049">
            <v>40</v>
          </cell>
          <cell r="K1049" t="str">
            <v>-</v>
          </cell>
          <cell r="L1049" t="str">
            <v>YWWW</v>
          </cell>
          <cell r="M1049" t="str">
            <v>Y</v>
          </cell>
          <cell r="N1049" t="str">
            <v>W</v>
          </cell>
          <cell r="O1049" t="str">
            <v>W</v>
          </cell>
          <cell r="P1049" t="str">
            <v>W</v>
          </cell>
          <cell r="Q1049" t="str">
            <v/>
          </cell>
          <cell r="R1049" t="str">
            <v>-</v>
          </cell>
        </row>
        <row r="1050">
          <cell r="A1050" t="str">
            <v>VO00953</v>
          </cell>
          <cell r="B1050" t="str">
            <v>-</v>
          </cell>
          <cell r="C1050">
            <v>953</v>
          </cell>
          <cell r="D1050" t="str">
            <v>99/99 R99</v>
          </cell>
          <cell r="E1050">
            <v>999</v>
          </cell>
          <cell r="F1050" t="str">
            <v>-</v>
          </cell>
          <cell r="G1050" t="str">
            <v>ETO1_Nr = 517058</v>
          </cell>
          <cell r="H1050" t="str">
            <v>VO00953</v>
          </cell>
          <cell r="I1050">
            <v>52953</v>
          </cell>
          <cell r="J1050">
            <v>40</v>
          </cell>
          <cell r="K1050" t="str">
            <v>-</v>
          </cell>
          <cell r="L1050" t="str">
            <v>RWWW</v>
          </cell>
          <cell r="M1050" t="str">
            <v>R</v>
          </cell>
          <cell r="N1050" t="str">
            <v>W</v>
          </cell>
          <cell r="O1050" t="str">
            <v>W</v>
          </cell>
          <cell r="P1050" t="str">
            <v>W</v>
          </cell>
          <cell r="Q1050" t="str">
            <v/>
          </cell>
          <cell r="R1050" t="str">
            <v>-</v>
          </cell>
        </row>
        <row r="1051">
          <cell r="A1051" t="str">
            <v>VO00954</v>
          </cell>
          <cell r="B1051" t="str">
            <v>-</v>
          </cell>
          <cell r="C1051">
            <v>954</v>
          </cell>
          <cell r="D1051" t="str">
            <v>99/99 R99</v>
          </cell>
          <cell r="E1051">
            <v>999</v>
          </cell>
          <cell r="F1051" t="str">
            <v>-</v>
          </cell>
          <cell r="G1051" t="str">
            <v>ETO1_Nr = 517059</v>
          </cell>
          <cell r="H1051" t="str">
            <v>VO00954</v>
          </cell>
          <cell r="I1051">
            <v>52954</v>
          </cell>
          <cell r="J1051">
            <v>40</v>
          </cell>
          <cell r="K1051" t="str">
            <v>-</v>
          </cell>
          <cell r="L1051" t="str">
            <v>GWWW</v>
          </cell>
          <cell r="M1051" t="str">
            <v>G</v>
          </cell>
          <cell r="N1051" t="str">
            <v>W</v>
          </cell>
          <cell r="O1051" t="str">
            <v>W</v>
          </cell>
          <cell r="P1051" t="str">
            <v>W</v>
          </cell>
          <cell r="Q1051" t="str">
            <v/>
          </cell>
          <cell r="R1051" t="str">
            <v>-</v>
          </cell>
        </row>
        <row r="1052">
          <cell r="A1052" t="str">
            <v>VO00955</v>
          </cell>
          <cell r="B1052" t="str">
            <v>-</v>
          </cell>
          <cell r="C1052">
            <v>955</v>
          </cell>
          <cell r="D1052" t="str">
            <v>99/99 R99</v>
          </cell>
          <cell r="E1052">
            <v>999</v>
          </cell>
          <cell r="F1052" t="str">
            <v>-</v>
          </cell>
          <cell r="G1052" t="str">
            <v>ETO1_Nr = 518006</v>
          </cell>
          <cell r="H1052" t="str">
            <v>VO00955</v>
          </cell>
          <cell r="I1052">
            <v>52955</v>
          </cell>
          <cell r="J1052">
            <v>0</v>
          </cell>
          <cell r="K1052" t="str">
            <v>P0</v>
          </cell>
          <cell r="L1052" t="str">
            <v>AAWWW</v>
          </cell>
          <cell r="M1052" t="str">
            <v>A</v>
          </cell>
          <cell r="N1052" t="str">
            <v>A</v>
          </cell>
          <cell r="O1052" t="str">
            <v>W</v>
          </cell>
          <cell r="P1052" t="str">
            <v>W</v>
          </cell>
          <cell r="Q1052" t="str">
            <v>W</v>
          </cell>
          <cell r="R1052" t="str">
            <v>-</v>
          </cell>
        </row>
        <row r="1053">
          <cell r="A1053" t="str">
            <v>VO00956</v>
          </cell>
          <cell r="B1053" t="str">
            <v>-</v>
          </cell>
          <cell r="C1053">
            <v>956</v>
          </cell>
          <cell r="D1053" t="str">
            <v>99/99 R99</v>
          </cell>
          <cell r="E1053">
            <v>999</v>
          </cell>
          <cell r="F1053" t="str">
            <v>-</v>
          </cell>
          <cell r="G1053" t="str">
            <v>ETO1_Nr = 518007</v>
          </cell>
          <cell r="H1053" t="str">
            <v>VO00956</v>
          </cell>
          <cell r="I1053">
            <v>52956</v>
          </cell>
          <cell r="J1053">
            <v>0</v>
          </cell>
          <cell r="K1053" t="str">
            <v>P0</v>
          </cell>
          <cell r="L1053" t="str">
            <v>AOWWW</v>
          </cell>
          <cell r="M1053" t="str">
            <v>A</v>
          </cell>
          <cell r="N1053" t="str">
            <v>O</v>
          </cell>
          <cell r="O1053" t="str">
            <v>W</v>
          </cell>
          <cell r="P1053" t="str">
            <v>W</v>
          </cell>
          <cell r="Q1053" t="str">
            <v>W</v>
          </cell>
          <cell r="R1053" t="str">
            <v>-</v>
          </cell>
        </row>
        <row r="1054">
          <cell r="A1054" t="str">
            <v>VO00957</v>
          </cell>
          <cell r="B1054" t="str">
            <v>-</v>
          </cell>
          <cell r="C1054">
            <v>957</v>
          </cell>
          <cell r="D1054" t="str">
            <v>99/99 R99</v>
          </cell>
          <cell r="E1054">
            <v>999</v>
          </cell>
          <cell r="F1054" t="str">
            <v>-</v>
          </cell>
          <cell r="G1054" t="str">
            <v>ETO1_Nr = 518008</v>
          </cell>
          <cell r="H1054" t="str">
            <v>VO00957</v>
          </cell>
          <cell r="I1054">
            <v>52957</v>
          </cell>
          <cell r="J1054">
            <v>0</v>
          </cell>
          <cell r="K1054" t="str">
            <v>P2</v>
          </cell>
          <cell r="L1054" t="str">
            <v>AWWWW</v>
          </cell>
          <cell r="M1054" t="str">
            <v>A</v>
          </cell>
          <cell r="N1054" t="str">
            <v>W</v>
          </cell>
          <cell r="O1054" t="str">
            <v>W</v>
          </cell>
          <cell r="P1054" t="str">
            <v>W</v>
          </cell>
          <cell r="Q1054" t="str">
            <v>W</v>
          </cell>
          <cell r="R1054" t="str">
            <v>-</v>
          </cell>
        </row>
        <row r="1055">
          <cell r="A1055" t="str">
            <v>VO00958</v>
          </cell>
          <cell r="B1055" t="str">
            <v>-</v>
          </cell>
          <cell r="C1055">
            <v>958</v>
          </cell>
          <cell r="D1055" t="str">
            <v>99/99 R99</v>
          </cell>
          <cell r="E1055">
            <v>999</v>
          </cell>
          <cell r="F1055" t="str">
            <v>-</v>
          </cell>
          <cell r="G1055" t="str">
            <v>ETO1_Nr = 518009</v>
          </cell>
          <cell r="H1055" t="str">
            <v>VO00958</v>
          </cell>
          <cell r="I1055">
            <v>52958</v>
          </cell>
          <cell r="J1055">
            <v>0</v>
          </cell>
          <cell r="K1055" t="str">
            <v>-</v>
          </cell>
          <cell r="L1055" t="str">
            <v>AYWWW</v>
          </cell>
          <cell r="M1055" t="str">
            <v>A</v>
          </cell>
          <cell r="N1055" t="str">
            <v>Y</v>
          </cell>
          <cell r="O1055" t="str">
            <v>W</v>
          </cell>
          <cell r="P1055" t="str">
            <v>W</v>
          </cell>
          <cell r="Q1055" t="str">
            <v>W</v>
          </cell>
          <cell r="R1055" t="str">
            <v>-</v>
          </cell>
        </row>
        <row r="1056">
          <cell r="A1056" t="str">
            <v>VO00959</v>
          </cell>
          <cell r="B1056" t="str">
            <v>-</v>
          </cell>
          <cell r="C1056">
            <v>959</v>
          </cell>
          <cell r="D1056" t="str">
            <v>99/99 R99</v>
          </cell>
          <cell r="E1056">
            <v>999</v>
          </cell>
          <cell r="F1056" t="str">
            <v>-</v>
          </cell>
          <cell r="G1056" t="str">
            <v>ETO1_Nr = 518343</v>
          </cell>
          <cell r="H1056" t="str">
            <v>VO00959</v>
          </cell>
          <cell r="I1056">
            <v>52959</v>
          </cell>
          <cell r="J1056">
            <v>39</v>
          </cell>
          <cell r="K1056" t="str">
            <v>P0</v>
          </cell>
          <cell r="L1056" t="str">
            <v>ARWWW</v>
          </cell>
          <cell r="M1056" t="str">
            <v>A</v>
          </cell>
          <cell r="N1056" t="str">
            <v>R</v>
          </cell>
          <cell r="O1056" t="str">
            <v>W</v>
          </cell>
          <cell r="P1056" t="str">
            <v>W</v>
          </cell>
          <cell r="Q1056" t="str">
            <v>W</v>
          </cell>
          <cell r="R1056" t="str">
            <v>-</v>
          </cell>
        </row>
        <row r="1057">
          <cell r="A1057" t="str">
            <v>VO00960</v>
          </cell>
          <cell r="B1057" t="str">
            <v>-</v>
          </cell>
          <cell r="C1057">
            <v>960</v>
          </cell>
          <cell r="D1057" t="str">
            <v>99/99 R99</v>
          </cell>
          <cell r="E1057">
            <v>999</v>
          </cell>
          <cell r="F1057" t="str">
            <v>-</v>
          </cell>
          <cell r="G1057" t="str">
            <v>ETO1_Nr = 518010</v>
          </cell>
          <cell r="H1057" t="str">
            <v>VO00960</v>
          </cell>
          <cell r="I1057">
            <v>52960</v>
          </cell>
          <cell r="J1057">
            <v>0</v>
          </cell>
          <cell r="K1057" t="str">
            <v>P0</v>
          </cell>
          <cell r="L1057" t="str">
            <v>AGWWW</v>
          </cell>
          <cell r="M1057" t="str">
            <v>A</v>
          </cell>
          <cell r="N1057" t="str">
            <v>G</v>
          </cell>
          <cell r="O1057" t="str">
            <v>W</v>
          </cell>
          <cell r="P1057" t="str">
            <v>W</v>
          </cell>
          <cell r="Q1057" t="str">
            <v>W</v>
          </cell>
          <cell r="R1057" t="str">
            <v>-</v>
          </cell>
        </row>
        <row r="1058">
          <cell r="A1058" t="str">
            <v>VO00961</v>
          </cell>
          <cell r="B1058" t="str">
            <v>-</v>
          </cell>
          <cell r="C1058">
            <v>961</v>
          </cell>
          <cell r="D1058" t="str">
            <v>99/99 R99</v>
          </cell>
          <cell r="E1058">
            <v>999</v>
          </cell>
          <cell r="F1058" t="str">
            <v>-</v>
          </cell>
          <cell r="G1058" t="str">
            <v>ETO1_Nr = 517778</v>
          </cell>
          <cell r="H1058" t="str">
            <v>VO00961</v>
          </cell>
          <cell r="I1058">
            <v>52961</v>
          </cell>
          <cell r="J1058">
            <v>10</v>
          </cell>
          <cell r="K1058" t="str">
            <v>-</v>
          </cell>
          <cell r="L1058" t="str">
            <v>OAWWW</v>
          </cell>
          <cell r="M1058" t="str">
            <v>O</v>
          </cell>
          <cell r="N1058" t="str">
            <v>A</v>
          </cell>
          <cell r="O1058" t="str">
            <v>W</v>
          </cell>
          <cell r="P1058" t="str">
            <v>W</v>
          </cell>
          <cell r="Q1058" t="str">
            <v>W</v>
          </cell>
          <cell r="R1058" t="str">
            <v>PB-1HB</v>
          </cell>
        </row>
        <row r="1059">
          <cell r="A1059" t="str">
            <v>VO00962</v>
          </cell>
          <cell r="B1059" t="str">
            <v>-</v>
          </cell>
          <cell r="C1059">
            <v>962</v>
          </cell>
          <cell r="D1059" t="str">
            <v>99/99 R99</v>
          </cell>
          <cell r="E1059">
            <v>999</v>
          </cell>
          <cell r="F1059" t="str">
            <v>-</v>
          </cell>
          <cell r="G1059" t="str">
            <v>ETO1_Nr = 517779</v>
          </cell>
          <cell r="H1059" t="str">
            <v>VO00962</v>
          </cell>
          <cell r="I1059">
            <v>52962</v>
          </cell>
          <cell r="J1059">
            <v>10</v>
          </cell>
          <cell r="K1059" t="str">
            <v>-</v>
          </cell>
          <cell r="L1059" t="str">
            <v>OOWWW</v>
          </cell>
          <cell r="M1059" t="str">
            <v>O</v>
          </cell>
          <cell r="N1059" t="str">
            <v>O</v>
          </cell>
          <cell r="O1059" t="str">
            <v>W</v>
          </cell>
          <cell r="P1059" t="str">
            <v>W</v>
          </cell>
          <cell r="Q1059" t="str">
            <v>W</v>
          </cell>
          <cell r="R1059" t="str">
            <v>PB-1HB</v>
          </cell>
        </row>
        <row r="1060">
          <cell r="A1060" t="str">
            <v>VO00963</v>
          </cell>
          <cell r="B1060" t="str">
            <v>-</v>
          </cell>
          <cell r="C1060">
            <v>963</v>
          </cell>
          <cell r="D1060" t="str">
            <v>99/99 R99</v>
          </cell>
          <cell r="E1060">
            <v>999</v>
          </cell>
          <cell r="F1060" t="str">
            <v>-</v>
          </cell>
          <cell r="G1060" t="str">
            <v>ETO1_Nr = 518011</v>
          </cell>
          <cell r="H1060" t="str">
            <v>VO00963</v>
          </cell>
          <cell r="I1060">
            <v>52963</v>
          </cell>
          <cell r="J1060">
            <v>0</v>
          </cell>
          <cell r="K1060" t="str">
            <v>-</v>
          </cell>
          <cell r="L1060" t="str">
            <v>OWWWW</v>
          </cell>
          <cell r="M1060" t="str">
            <v>O</v>
          </cell>
          <cell r="N1060" t="str">
            <v>W</v>
          </cell>
          <cell r="O1060" t="str">
            <v>W</v>
          </cell>
          <cell r="P1060" t="str">
            <v>W</v>
          </cell>
          <cell r="Q1060" t="str">
            <v>W</v>
          </cell>
          <cell r="R1060" t="str">
            <v>-</v>
          </cell>
        </row>
        <row r="1061">
          <cell r="A1061" t="str">
            <v>VO00964</v>
          </cell>
          <cell r="B1061" t="str">
            <v>-</v>
          </cell>
          <cell r="C1061">
            <v>964</v>
          </cell>
          <cell r="D1061" t="str">
            <v>99/99 R99</v>
          </cell>
          <cell r="E1061">
            <v>999</v>
          </cell>
          <cell r="F1061" t="str">
            <v>-</v>
          </cell>
          <cell r="G1061" t="str">
            <v>ETO1_Nr = 519575</v>
          </cell>
          <cell r="H1061" t="str">
            <v>VO00964</v>
          </cell>
          <cell r="I1061">
            <v>52964</v>
          </cell>
          <cell r="J1061">
            <v>27</v>
          </cell>
          <cell r="K1061" t="str">
            <v>-</v>
          </cell>
          <cell r="L1061" t="str">
            <v>OYWWW</v>
          </cell>
          <cell r="M1061" t="str">
            <v>O</v>
          </cell>
          <cell r="N1061" t="str">
            <v>Y</v>
          </cell>
          <cell r="O1061" t="str">
            <v>W</v>
          </cell>
          <cell r="P1061" t="str">
            <v>W</v>
          </cell>
          <cell r="Q1061" t="str">
            <v>W</v>
          </cell>
          <cell r="R1061" t="str">
            <v>-</v>
          </cell>
        </row>
        <row r="1062">
          <cell r="A1062" t="str">
            <v>VO00965</v>
          </cell>
          <cell r="B1062" t="str">
            <v>-</v>
          </cell>
          <cell r="C1062">
            <v>965</v>
          </cell>
          <cell r="D1062" t="str">
            <v>99/99 R99</v>
          </cell>
          <cell r="E1062">
            <v>999</v>
          </cell>
          <cell r="F1062" t="str">
            <v>-</v>
          </cell>
          <cell r="G1062" t="str">
            <v>ETO1_Nr = 519465</v>
          </cell>
          <cell r="H1062" t="str">
            <v>VO00965</v>
          </cell>
          <cell r="I1062">
            <v>52965</v>
          </cell>
          <cell r="J1062">
            <v>0</v>
          </cell>
          <cell r="K1062" t="str">
            <v>P2</v>
          </cell>
          <cell r="L1062" t="str">
            <v>ORWWW</v>
          </cell>
          <cell r="M1062" t="str">
            <v>O</v>
          </cell>
          <cell r="N1062" t="str">
            <v>R</v>
          </cell>
          <cell r="O1062" t="str">
            <v>W</v>
          </cell>
          <cell r="P1062" t="str">
            <v>W</v>
          </cell>
          <cell r="Q1062" t="str">
            <v>W</v>
          </cell>
          <cell r="R1062" t="str">
            <v>-</v>
          </cell>
        </row>
        <row r="1063">
          <cell r="A1063" t="str">
            <v>VO00966</v>
          </cell>
          <cell r="B1063" t="str">
            <v>-</v>
          </cell>
          <cell r="C1063">
            <v>966</v>
          </cell>
          <cell r="D1063" t="str">
            <v>99/99 R99</v>
          </cell>
          <cell r="E1063">
            <v>999</v>
          </cell>
          <cell r="F1063" t="str">
            <v>-</v>
          </cell>
          <cell r="G1063" t="str">
            <v>ETO1_Nr = 519466</v>
          </cell>
          <cell r="H1063" t="str">
            <v>VO00966</v>
          </cell>
          <cell r="I1063">
            <v>52966</v>
          </cell>
          <cell r="J1063">
            <v>0</v>
          </cell>
          <cell r="K1063" t="str">
            <v>P2</v>
          </cell>
          <cell r="L1063" t="str">
            <v>OGWWW</v>
          </cell>
          <cell r="M1063" t="str">
            <v>O</v>
          </cell>
          <cell r="N1063" t="str">
            <v>G</v>
          </cell>
          <cell r="O1063" t="str">
            <v>W</v>
          </cell>
          <cell r="P1063" t="str">
            <v>W</v>
          </cell>
          <cell r="Q1063" t="str">
            <v>W</v>
          </cell>
          <cell r="R1063" t="str">
            <v>-</v>
          </cell>
        </row>
        <row r="1064">
          <cell r="A1064" t="str">
            <v>VO00967</v>
          </cell>
          <cell r="B1064" t="str">
            <v>-</v>
          </cell>
          <cell r="C1064">
            <v>967</v>
          </cell>
          <cell r="D1064" t="str">
            <v>99/99 R99</v>
          </cell>
          <cell r="E1064">
            <v>999</v>
          </cell>
          <cell r="F1064" t="str">
            <v>-</v>
          </cell>
          <cell r="G1064" t="str">
            <v>ETO1_Nr = 518207</v>
          </cell>
          <cell r="H1064" t="str">
            <v>VO00967</v>
          </cell>
          <cell r="I1064">
            <v>52967</v>
          </cell>
          <cell r="J1064">
            <v>0</v>
          </cell>
          <cell r="K1064" t="str">
            <v>-</v>
          </cell>
          <cell r="L1064" t="str">
            <v>WAWWW</v>
          </cell>
          <cell r="M1064" t="str">
            <v>W</v>
          </cell>
          <cell r="N1064" t="str">
            <v>A</v>
          </cell>
          <cell r="O1064" t="str">
            <v>W</v>
          </cell>
          <cell r="P1064" t="str">
            <v>W</v>
          </cell>
          <cell r="Q1064" t="str">
            <v>W</v>
          </cell>
          <cell r="R1064" t="str">
            <v>-</v>
          </cell>
        </row>
        <row r="1065">
          <cell r="A1065" t="str">
            <v>VO00968</v>
          </cell>
          <cell r="B1065" t="str">
            <v>-</v>
          </cell>
          <cell r="C1065">
            <v>968</v>
          </cell>
          <cell r="D1065" t="str">
            <v>99/99 R99</v>
          </cell>
          <cell r="E1065">
            <v>999</v>
          </cell>
          <cell r="F1065" t="str">
            <v>-</v>
          </cell>
          <cell r="G1065" t="str">
            <v>ETO1_Nr = 518208</v>
          </cell>
          <cell r="H1065" t="str">
            <v>VO00968</v>
          </cell>
          <cell r="I1065">
            <v>52968</v>
          </cell>
          <cell r="J1065">
            <v>0</v>
          </cell>
          <cell r="K1065" t="str">
            <v>-</v>
          </cell>
          <cell r="L1065" t="str">
            <v>WOWWW</v>
          </cell>
          <cell r="M1065" t="str">
            <v>W</v>
          </cell>
          <cell r="N1065" t="str">
            <v>O</v>
          </cell>
          <cell r="O1065" t="str">
            <v>W</v>
          </cell>
          <cell r="P1065" t="str">
            <v>W</v>
          </cell>
          <cell r="Q1065" t="str">
            <v>W</v>
          </cell>
          <cell r="R1065" t="str">
            <v>-</v>
          </cell>
        </row>
        <row r="1066">
          <cell r="A1066" t="str">
            <v>VO00969</v>
          </cell>
          <cell r="B1066" t="str">
            <v>-</v>
          </cell>
          <cell r="C1066">
            <v>969</v>
          </cell>
          <cell r="D1066" t="str">
            <v>99/99 R99</v>
          </cell>
          <cell r="E1066">
            <v>999</v>
          </cell>
          <cell r="F1066" t="str">
            <v>-</v>
          </cell>
          <cell r="G1066" t="str">
            <v>ETO1_Nr = 519142</v>
          </cell>
          <cell r="H1066" t="str">
            <v>VO00969</v>
          </cell>
          <cell r="I1066">
            <v>52969</v>
          </cell>
          <cell r="J1066">
            <v>0</v>
          </cell>
          <cell r="K1066" t="str">
            <v>-</v>
          </cell>
          <cell r="L1066" t="str">
            <v>WWWWW</v>
          </cell>
          <cell r="M1066" t="str">
            <v>W</v>
          </cell>
          <cell r="N1066" t="str">
            <v>W</v>
          </cell>
          <cell r="O1066" t="str">
            <v>W</v>
          </cell>
          <cell r="P1066" t="str">
            <v>W</v>
          </cell>
          <cell r="Q1066" t="str">
            <v>W</v>
          </cell>
          <cell r="R1066" t="str">
            <v>-</v>
          </cell>
        </row>
        <row r="1067">
          <cell r="A1067" t="str">
            <v>VO00970</v>
          </cell>
          <cell r="B1067" t="str">
            <v>-</v>
          </cell>
          <cell r="C1067">
            <v>970</v>
          </cell>
          <cell r="D1067" t="str">
            <v>99/99 R99</v>
          </cell>
          <cell r="E1067">
            <v>999</v>
          </cell>
          <cell r="F1067" t="str">
            <v>-</v>
          </cell>
          <cell r="G1067" t="str">
            <v>ETO1_Nr = 519143</v>
          </cell>
          <cell r="H1067" t="str">
            <v>VO00970</v>
          </cell>
          <cell r="I1067">
            <v>52970</v>
          </cell>
          <cell r="J1067">
            <v>0</v>
          </cell>
          <cell r="K1067" t="str">
            <v>-</v>
          </cell>
          <cell r="L1067" t="str">
            <v>WYWWW</v>
          </cell>
          <cell r="M1067" t="str">
            <v>W</v>
          </cell>
          <cell r="N1067" t="str">
            <v>Y</v>
          </cell>
          <cell r="O1067" t="str">
            <v>W</v>
          </cell>
          <cell r="P1067" t="str">
            <v>W</v>
          </cell>
          <cell r="Q1067" t="str">
            <v>W</v>
          </cell>
          <cell r="R1067" t="str">
            <v>-</v>
          </cell>
        </row>
        <row r="1068">
          <cell r="A1068" t="str">
            <v>VO00971</v>
          </cell>
          <cell r="B1068" t="str">
            <v>-</v>
          </cell>
          <cell r="C1068">
            <v>971</v>
          </cell>
          <cell r="D1068" t="str">
            <v>99/99 R99</v>
          </cell>
          <cell r="E1068">
            <v>999</v>
          </cell>
          <cell r="F1068" t="str">
            <v>-</v>
          </cell>
          <cell r="G1068" t="str">
            <v>ETO1_Nr = 518210</v>
          </cell>
          <cell r="H1068" t="str">
            <v>VO00971</v>
          </cell>
          <cell r="I1068">
            <v>52971</v>
          </cell>
          <cell r="J1068">
            <v>0</v>
          </cell>
          <cell r="K1068" t="str">
            <v>-</v>
          </cell>
          <cell r="L1068" t="str">
            <v>WRWWW</v>
          </cell>
          <cell r="M1068" t="str">
            <v>W</v>
          </cell>
          <cell r="N1068" t="str">
            <v>R</v>
          </cell>
          <cell r="O1068" t="str">
            <v>W</v>
          </cell>
          <cell r="P1068" t="str">
            <v>W</v>
          </cell>
          <cell r="Q1068" t="str">
            <v>W</v>
          </cell>
          <cell r="R1068" t="str">
            <v>-</v>
          </cell>
        </row>
        <row r="1069">
          <cell r="A1069" t="str">
            <v>VO00972</v>
          </cell>
          <cell r="B1069" t="str">
            <v>-</v>
          </cell>
          <cell r="C1069">
            <v>972</v>
          </cell>
          <cell r="D1069" t="str">
            <v>99/99 R99</v>
          </cell>
          <cell r="E1069">
            <v>999</v>
          </cell>
          <cell r="F1069" t="str">
            <v>-</v>
          </cell>
          <cell r="G1069" t="str">
            <v>ETO1_Nr = 519817</v>
          </cell>
          <cell r="H1069" t="str">
            <v>VO00972</v>
          </cell>
          <cell r="I1069">
            <v>52972</v>
          </cell>
          <cell r="J1069">
            <v>0</v>
          </cell>
          <cell r="K1069" t="str">
            <v>-</v>
          </cell>
          <cell r="L1069" t="str">
            <v>WGWWW</v>
          </cell>
          <cell r="M1069" t="str">
            <v>W</v>
          </cell>
          <cell r="N1069" t="str">
            <v>G</v>
          </cell>
          <cell r="O1069" t="str">
            <v>W</v>
          </cell>
          <cell r="P1069" t="str">
            <v>W</v>
          </cell>
          <cell r="Q1069" t="str">
            <v>W</v>
          </cell>
          <cell r="R1069" t="str">
            <v>-</v>
          </cell>
        </row>
        <row r="1070">
          <cell r="A1070" t="str">
            <v>VO00973</v>
          </cell>
          <cell r="B1070" t="str">
            <v>-</v>
          </cell>
          <cell r="C1070">
            <v>973</v>
          </cell>
          <cell r="D1070" t="str">
            <v>99/99 R99</v>
          </cell>
          <cell r="E1070">
            <v>999</v>
          </cell>
          <cell r="F1070" t="str">
            <v>-</v>
          </cell>
          <cell r="G1070" t="str">
            <v>ETO1_Nr = 519521</v>
          </cell>
          <cell r="H1070" t="str">
            <v>VO00973</v>
          </cell>
          <cell r="I1070">
            <v>52973</v>
          </cell>
          <cell r="J1070">
            <v>0</v>
          </cell>
          <cell r="K1070" t="str">
            <v>-</v>
          </cell>
          <cell r="L1070" t="str">
            <v>YAWWW</v>
          </cell>
          <cell r="M1070" t="str">
            <v>Y</v>
          </cell>
          <cell r="N1070" t="str">
            <v>A</v>
          </cell>
          <cell r="O1070" t="str">
            <v>W</v>
          </cell>
          <cell r="P1070" t="str">
            <v>W</v>
          </cell>
          <cell r="Q1070" t="str">
            <v>W</v>
          </cell>
          <cell r="R1070" t="str">
            <v>-</v>
          </cell>
        </row>
        <row r="1071">
          <cell r="A1071" t="str">
            <v>VO00974</v>
          </cell>
          <cell r="B1071" t="str">
            <v>-</v>
          </cell>
          <cell r="C1071">
            <v>974</v>
          </cell>
          <cell r="D1071" t="str">
            <v>99/99 R99</v>
          </cell>
          <cell r="E1071">
            <v>999</v>
          </cell>
          <cell r="F1071" t="str">
            <v>-</v>
          </cell>
          <cell r="G1071" t="str">
            <v>ETO1_Nr = 519522</v>
          </cell>
          <cell r="H1071" t="str">
            <v>VO00974</v>
          </cell>
          <cell r="I1071">
            <v>52974</v>
          </cell>
          <cell r="J1071">
            <v>0</v>
          </cell>
          <cell r="K1071" t="str">
            <v>-</v>
          </cell>
          <cell r="L1071" t="str">
            <v>YOWWW</v>
          </cell>
          <cell r="M1071" t="str">
            <v>Y</v>
          </cell>
          <cell r="N1071" t="str">
            <v>O</v>
          </cell>
          <cell r="O1071" t="str">
            <v>W</v>
          </cell>
          <cell r="P1071" t="str">
            <v>W</v>
          </cell>
          <cell r="Q1071" t="str">
            <v>W</v>
          </cell>
          <cell r="R1071" t="str">
            <v>-</v>
          </cell>
        </row>
        <row r="1072">
          <cell r="A1072" t="str">
            <v>VO00975</v>
          </cell>
          <cell r="B1072" t="str">
            <v>-</v>
          </cell>
          <cell r="C1072">
            <v>975</v>
          </cell>
          <cell r="D1072" t="str">
            <v>99/99 R99</v>
          </cell>
          <cell r="E1072">
            <v>999</v>
          </cell>
          <cell r="F1072" t="str">
            <v>-</v>
          </cell>
          <cell r="G1072" t="str">
            <v>ETO1_Nr = 517062</v>
          </cell>
          <cell r="H1072" t="str">
            <v>VO00975</v>
          </cell>
          <cell r="I1072">
            <v>52975</v>
          </cell>
          <cell r="J1072">
            <v>40</v>
          </cell>
          <cell r="K1072" t="str">
            <v>-</v>
          </cell>
          <cell r="L1072" t="str">
            <v>YWWWW</v>
          </cell>
          <cell r="M1072" t="str">
            <v>Y</v>
          </cell>
          <cell r="N1072" t="str">
            <v>W</v>
          </cell>
          <cell r="O1072" t="str">
            <v>W</v>
          </cell>
          <cell r="P1072" t="str">
            <v>W</v>
          </cell>
          <cell r="Q1072" t="str">
            <v>W</v>
          </cell>
          <cell r="R1072" t="str">
            <v>-</v>
          </cell>
        </row>
        <row r="1073">
          <cell r="A1073" t="str">
            <v>VO00976</v>
          </cell>
          <cell r="B1073" t="str">
            <v>-</v>
          </cell>
          <cell r="C1073">
            <v>976</v>
          </cell>
          <cell r="D1073" t="str">
            <v>99/99 R99</v>
          </cell>
          <cell r="E1073">
            <v>999</v>
          </cell>
          <cell r="F1073" t="str">
            <v>-</v>
          </cell>
          <cell r="G1073" t="str">
            <v>ETO1_Nr = 517063</v>
          </cell>
          <cell r="H1073" t="str">
            <v>VO00976</v>
          </cell>
          <cell r="I1073">
            <v>52976</v>
          </cell>
          <cell r="J1073">
            <v>40</v>
          </cell>
          <cell r="K1073" t="str">
            <v>-</v>
          </cell>
          <cell r="L1073" t="str">
            <v>YYWWW</v>
          </cell>
          <cell r="M1073" t="str">
            <v>Y</v>
          </cell>
          <cell r="N1073" t="str">
            <v>Y</v>
          </cell>
          <cell r="O1073" t="str">
            <v>W</v>
          </cell>
          <cell r="P1073" t="str">
            <v>W</v>
          </cell>
          <cell r="Q1073" t="str">
            <v>W</v>
          </cell>
          <cell r="R1073" t="str">
            <v>-</v>
          </cell>
        </row>
        <row r="1074">
          <cell r="A1074" t="str">
            <v>VO00977</v>
          </cell>
          <cell r="B1074" t="str">
            <v>-</v>
          </cell>
          <cell r="C1074">
            <v>977</v>
          </cell>
          <cell r="D1074" t="str">
            <v>99/99 R99</v>
          </cell>
          <cell r="E1074">
            <v>999</v>
          </cell>
          <cell r="F1074" t="str">
            <v>-</v>
          </cell>
          <cell r="G1074" t="str">
            <v>ETO1_Nr = 517965</v>
          </cell>
          <cell r="H1074" t="str">
            <v>VO00977</v>
          </cell>
          <cell r="I1074">
            <v>52977</v>
          </cell>
          <cell r="J1074">
            <v>40</v>
          </cell>
          <cell r="K1074" t="str">
            <v>-</v>
          </cell>
          <cell r="L1074" t="str">
            <v>YRWWW</v>
          </cell>
          <cell r="M1074" t="str">
            <v>Y</v>
          </cell>
          <cell r="N1074" t="str">
            <v>R</v>
          </cell>
          <cell r="O1074" t="str">
            <v>W</v>
          </cell>
          <cell r="P1074" t="str">
            <v>W</v>
          </cell>
          <cell r="Q1074" t="str">
            <v>W</v>
          </cell>
          <cell r="R1074" t="str">
            <v>-</v>
          </cell>
        </row>
        <row r="1075">
          <cell r="A1075" t="str">
            <v>VO00978</v>
          </cell>
          <cell r="B1075" t="str">
            <v>-</v>
          </cell>
          <cell r="C1075">
            <v>978</v>
          </cell>
          <cell r="D1075" t="str">
            <v>99/99 R99</v>
          </cell>
          <cell r="E1075">
            <v>999</v>
          </cell>
          <cell r="F1075" t="str">
            <v>-</v>
          </cell>
          <cell r="G1075" t="str">
            <v>ETO1_Nr = 518270</v>
          </cell>
          <cell r="H1075" t="str">
            <v>VO00978</v>
          </cell>
          <cell r="I1075">
            <v>52978</v>
          </cell>
          <cell r="J1075">
            <v>40</v>
          </cell>
          <cell r="K1075" t="str">
            <v>-</v>
          </cell>
          <cell r="L1075" t="str">
            <v>YGWWW</v>
          </cell>
          <cell r="M1075" t="str">
            <v>Y</v>
          </cell>
          <cell r="N1075" t="str">
            <v>G</v>
          </cell>
          <cell r="O1075" t="str">
            <v>W</v>
          </cell>
          <cell r="P1075" t="str">
            <v>W</v>
          </cell>
          <cell r="Q1075" t="str">
            <v>W</v>
          </cell>
          <cell r="R1075" t="str">
            <v>-</v>
          </cell>
        </row>
        <row r="1076">
          <cell r="A1076" t="str">
            <v>VO00979</v>
          </cell>
          <cell r="B1076" t="str">
            <v>-</v>
          </cell>
          <cell r="C1076">
            <v>979</v>
          </cell>
          <cell r="D1076" t="str">
            <v>99/99 R99</v>
          </cell>
          <cell r="E1076">
            <v>999</v>
          </cell>
          <cell r="F1076" t="str">
            <v>-</v>
          </cell>
          <cell r="G1076" t="str">
            <v>ETO1_Nr = 517538</v>
          </cell>
          <cell r="H1076" t="str">
            <v>VO00979</v>
          </cell>
          <cell r="I1076">
            <v>52979</v>
          </cell>
          <cell r="J1076">
            <v>39</v>
          </cell>
          <cell r="K1076" t="str">
            <v>-</v>
          </cell>
          <cell r="L1076" t="str">
            <v>RAWWW</v>
          </cell>
          <cell r="M1076" t="str">
            <v>R</v>
          </cell>
          <cell r="N1076" t="str">
            <v>A</v>
          </cell>
          <cell r="O1076" t="str">
            <v>W</v>
          </cell>
          <cell r="P1076" t="str">
            <v>W</v>
          </cell>
          <cell r="Q1076" t="str">
            <v>W</v>
          </cell>
          <cell r="R1076" t="str">
            <v>-</v>
          </cell>
        </row>
        <row r="1077">
          <cell r="A1077" t="str">
            <v>VO00980</v>
          </cell>
          <cell r="B1077" t="str">
            <v>-</v>
          </cell>
          <cell r="C1077">
            <v>980</v>
          </cell>
          <cell r="D1077" t="str">
            <v>99/99 R99</v>
          </cell>
          <cell r="E1077">
            <v>999</v>
          </cell>
          <cell r="F1077" t="str">
            <v>-</v>
          </cell>
          <cell r="G1077" t="str">
            <v>ETO1_Nr = 517539</v>
          </cell>
          <cell r="H1077" t="str">
            <v>VO00980</v>
          </cell>
          <cell r="I1077">
            <v>52980</v>
          </cell>
          <cell r="J1077">
            <v>39</v>
          </cell>
          <cell r="K1077" t="str">
            <v>-</v>
          </cell>
          <cell r="L1077" t="str">
            <v>ROWWW</v>
          </cell>
          <cell r="M1077" t="str">
            <v>R</v>
          </cell>
          <cell r="N1077" t="str">
            <v>O</v>
          </cell>
          <cell r="O1077" t="str">
            <v>W</v>
          </cell>
          <cell r="P1077" t="str">
            <v>W</v>
          </cell>
          <cell r="Q1077" t="str">
            <v>W</v>
          </cell>
          <cell r="R1077" t="str">
            <v>-</v>
          </cell>
        </row>
        <row r="1078">
          <cell r="A1078" t="str">
            <v>VO00981</v>
          </cell>
          <cell r="B1078" t="str">
            <v>-</v>
          </cell>
          <cell r="C1078">
            <v>981</v>
          </cell>
          <cell r="D1078" t="str">
            <v>99/99 R99</v>
          </cell>
          <cell r="E1078">
            <v>999</v>
          </cell>
          <cell r="F1078" t="str">
            <v>-</v>
          </cell>
          <cell r="G1078" t="str">
            <v>ETO1_Nr = 517540</v>
          </cell>
          <cell r="H1078" t="str">
            <v>VO00981</v>
          </cell>
          <cell r="I1078">
            <v>52981</v>
          </cell>
          <cell r="J1078">
            <v>39</v>
          </cell>
          <cell r="K1078" t="str">
            <v>-</v>
          </cell>
          <cell r="L1078" t="str">
            <v>RWWWW</v>
          </cell>
          <cell r="M1078" t="str">
            <v>R</v>
          </cell>
          <cell r="N1078" t="str">
            <v>W</v>
          </cell>
          <cell r="O1078" t="str">
            <v>W</v>
          </cell>
          <cell r="P1078" t="str">
            <v>W</v>
          </cell>
          <cell r="Q1078" t="str">
            <v>W</v>
          </cell>
          <cell r="R1078" t="str">
            <v>-</v>
          </cell>
        </row>
        <row r="1079">
          <cell r="A1079" t="str">
            <v>VO00982</v>
          </cell>
          <cell r="B1079" t="str">
            <v>-</v>
          </cell>
          <cell r="C1079">
            <v>982</v>
          </cell>
          <cell r="D1079" t="str">
            <v>99/99 R99</v>
          </cell>
          <cell r="E1079">
            <v>999</v>
          </cell>
          <cell r="F1079" t="str">
            <v>-</v>
          </cell>
          <cell r="G1079" t="str">
            <v>ETO1_Nr = 518550</v>
          </cell>
          <cell r="H1079" t="str">
            <v>VO00982</v>
          </cell>
          <cell r="I1079">
            <v>52982</v>
          </cell>
          <cell r="J1079">
            <v>39</v>
          </cell>
          <cell r="K1079" t="str">
            <v>-</v>
          </cell>
          <cell r="L1079" t="str">
            <v>RYWWW</v>
          </cell>
          <cell r="M1079" t="str">
            <v>R</v>
          </cell>
          <cell r="N1079" t="str">
            <v>Y</v>
          </cell>
          <cell r="O1079" t="str">
            <v>W</v>
          </cell>
          <cell r="P1079" t="str">
            <v>W</v>
          </cell>
          <cell r="Q1079" t="str">
            <v>W</v>
          </cell>
          <cell r="R1079" t="str">
            <v>-</v>
          </cell>
        </row>
        <row r="1080">
          <cell r="A1080" t="str">
            <v>VO00983</v>
          </cell>
          <cell r="B1080" t="str">
            <v>-</v>
          </cell>
          <cell r="C1080">
            <v>983</v>
          </cell>
          <cell r="D1080" t="str">
            <v>99/99 R99</v>
          </cell>
          <cell r="E1080">
            <v>999</v>
          </cell>
          <cell r="F1080" t="str">
            <v>-</v>
          </cell>
          <cell r="G1080" t="str">
            <v>ETO1_Nr = 519413</v>
          </cell>
          <cell r="H1080" t="str">
            <v>VO00983</v>
          </cell>
          <cell r="I1080">
            <v>52983</v>
          </cell>
          <cell r="J1080">
            <v>0</v>
          </cell>
          <cell r="K1080" t="str">
            <v>-</v>
          </cell>
          <cell r="L1080" t="str">
            <v>RRWWW</v>
          </cell>
          <cell r="M1080" t="str">
            <v>R</v>
          </cell>
          <cell r="N1080" t="str">
            <v>R</v>
          </cell>
          <cell r="O1080" t="str">
            <v>W</v>
          </cell>
          <cell r="P1080" t="str">
            <v>W</v>
          </cell>
          <cell r="Q1080" t="str">
            <v>W</v>
          </cell>
          <cell r="R1080" t="str">
            <v>-</v>
          </cell>
        </row>
        <row r="1081">
          <cell r="A1081" t="str">
            <v>VO00984</v>
          </cell>
          <cell r="B1081" t="str">
            <v>-</v>
          </cell>
          <cell r="C1081">
            <v>984</v>
          </cell>
          <cell r="D1081" t="str">
            <v>99/99 R99</v>
          </cell>
          <cell r="E1081">
            <v>999</v>
          </cell>
          <cell r="F1081" t="str">
            <v>-</v>
          </cell>
          <cell r="G1081" t="str">
            <v>ETO1_Nr = 517732</v>
          </cell>
          <cell r="H1081" t="str">
            <v>VO00984</v>
          </cell>
          <cell r="I1081">
            <v>52984</v>
          </cell>
          <cell r="J1081">
            <v>0</v>
          </cell>
          <cell r="K1081" t="str">
            <v>-</v>
          </cell>
          <cell r="L1081" t="str">
            <v>RGWWW</v>
          </cell>
          <cell r="M1081" t="str">
            <v>R</v>
          </cell>
          <cell r="N1081" t="str">
            <v>G</v>
          </cell>
          <cell r="O1081" t="str">
            <v>W</v>
          </cell>
          <cell r="P1081" t="str">
            <v>W</v>
          </cell>
          <cell r="Q1081" t="str">
            <v>W</v>
          </cell>
          <cell r="R1081" t="str">
            <v>-</v>
          </cell>
        </row>
        <row r="1082">
          <cell r="A1082" t="str">
            <v>VO00985</v>
          </cell>
          <cell r="B1082" t="str">
            <v>-</v>
          </cell>
          <cell r="C1082">
            <v>985</v>
          </cell>
          <cell r="D1082" t="str">
            <v>99/99 R99</v>
          </cell>
          <cell r="E1082">
            <v>999</v>
          </cell>
          <cell r="F1082" t="str">
            <v>-</v>
          </cell>
          <cell r="G1082" t="str">
            <v>ETO1_Nr = 519812</v>
          </cell>
          <cell r="H1082" t="str">
            <v>VO00985</v>
          </cell>
          <cell r="I1082">
            <v>52985</v>
          </cell>
          <cell r="J1082">
            <v>40</v>
          </cell>
          <cell r="K1082" t="str">
            <v>-</v>
          </cell>
          <cell r="L1082" t="str">
            <v>GAWWW</v>
          </cell>
          <cell r="M1082" t="str">
            <v>G</v>
          </cell>
          <cell r="N1082" t="str">
            <v>A</v>
          </cell>
          <cell r="O1082" t="str">
            <v>W</v>
          </cell>
          <cell r="P1082" t="str">
            <v>W</v>
          </cell>
          <cell r="Q1082" t="str">
            <v>W</v>
          </cell>
          <cell r="R1082" t="str">
            <v>-</v>
          </cell>
        </row>
        <row r="1083">
          <cell r="A1083" t="str">
            <v>VO00986</v>
          </cell>
          <cell r="B1083" t="str">
            <v>-</v>
          </cell>
          <cell r="C1083">
            <v>986</v>
          </cell>
          <cell r="D1083" t="str">
            <v>99/99 R99</v>
          </cell>
          <cell r="E1083">
            <v>999</v>
          </cell>
          <cell r="F1083" t="str">
            <v>-</v>
          </cell>
          <cell r="G1083" t="str">
            <v>ETO1_Nr = 519813</v>
          </cell>
          <cell r="H1083" t="str">
            <v>VO00986</v>
          </cell>
          <cell r="I1083">
            <v>52986</v>
          </cell>
          <cell r="J1083">
            <v>39</v>
          </cell>
          <cell r="K1083" t="str">
            <v>-</v>
          </cell>
          <cell r="L1083" t="str">
            <v>GOWWW</v>
          </cell>
          <cell r="M1083" t="str">
            <v>G</v>
          </cell>
          <cell r="N1083" t="str">
            <v>O</v>
          </cell>
          <cell r="O1083" t="str">
            <v>W</v>
          </cell>
          <cell r="P1083" t="str">
            <v>W</v>
          </cell>
          <cell r="Q1083" t="str">
            <v>W</v>
          </cell>
          <cell r="R1083" t="str">
            <v>-</v>
          </cell>
        </row>
        <row r="1084">
          <cell r="A1084" t="str">
            <v>VO00987</v>
          </cell>
          <cell r="B1084" t="str">
            <v>-</v>
          </cell>
          <cell r="C1084">
            <v>987</v>
          </cell>
          <cell r="D1084" t="str">
            <v>99/99 R99</v>
          </cell>
          <cell r="E1084">
            <v>999</v>
          </cell>
          <cell r="F1084" t="str">
            <v>-</v>
          </cell>
          <cell r="G1084" t="str">
            <v>ETO1_Nr = 519814</v>
          </cell>
          <cell r="H1084" t="str">
            <v>VO00987</v>
          </cell>
          <cell r="I1084">
            <v>52987</v>
          </cell>
          <cell r="J1084">
            <v>39</v>
          </cell>
          <cell r="K1084" t="str">
            <v>-</v>
          </cell>
          <cell r="L1084" t="str">
            <v>GWWWW</v>
          </cell>
          <cell r="M1084" t="str">
            <v>G</v>
          </cell>
          <cell r="N1084" t="str">
            <v>W</v>
          </cell>
          <cell r="O1084" t="str">
            <v>W</v>
          </cell>
          <cell r="P1084" t="str">
            <v>W</v>
          </cell>
          <cell r="Q1084" t="str">
            <v>W</v>
          </cell>
          <cell r="R1084" t="str">
            <v>-</v>
          </cell>
        </row>
        <row r="1085">
          <cell r="A1085" t="str">
            <v>VO00988</v>
          </cell>
          <cell r="B1085" t="str">
            <v>-</v>
          </cell>
          <cell r="C1085">
            <v>988</v>
          </cell>
          <cell r="D1085" t="str">
            <v>99/99 R99</v>
          </cell>
          <cell r="E1085">
            <v>999</v>
          </cell>
          <cell r="F1085" t="str">
            <v>-</v>
          </cell>
          <cell r="G1085" t="str">
            <v>ETO1_Nr = 518815</v>
          </cell>
          <cell r="H1085" t="str">
            <v>VO00988</v>
          </cell>
          <cell r="I1085">
            <v>52988</v>
          </cell>
          <cell r="J1085">
            <v>39</v>
          </cell>
          <cell r="K1085" t="str">
            <v>P2</v>
          </cell>
          <cell r="L1085" t="str">
            <v>GYWWW</v>
          </cell>
          <cell r="M1085" t="str">
            <v>G</v>
          </cell>
          <cell r="N1085" t="str">
            <v>Y</v>
          </cell>
          <cell r="O1085" t="str">
            <v>W</v>
          </cell>
          <cell r="P1085" t="str">
            <v>W</v>
          </cell>
          <cell r="Q1085" t="str">
            <v>W</v>
          </cell>
          <cell r="R1085" t="str">
            <v>-</v>
          </cell>
        </row>
        <row r="1086">
          <cell r="A1086" t="str">
            <v>VO00989</v>
          </cell>
          <cell r="B1086" t="str">
            <v>-</v>
          </cell>
          <cell r="C1086">
            <v>989</v>
          </cell>
          <cell r="D1086" t="str">
            <v>99/99 R99</v>
          </cell>
          <cell r="E1086">
            <v>999</v>
          </cell>
          <cell r="F1086" t="str">
            <v>-</v>
          </cell>
          <cell r="G1086" t="str">
            <v>ETO1_Nr = 519816</v>
          </cell>
          <cell r="H1086" t="str">
            <v>VO00989</v>
          </cell>
          <cell r="I1086">
            <v>52989</v>
          </cell>
          <cell r="J1086">
            <v>0</v>
          </cell>
          <cell r="K1086" t="str">
            <v>P4</v>
          </cell>
          <cell r="L1086" t="str">
            <v>GRWWW</v>
          </cell>
          <cell r="M1086" t="str">
            <v>G</v>
          </cell>
          <cell r="N1086" t="str">
            <v>R</v>
          </cell>
          <cell r="O1086" t="str">
            <v>W</v>
          </cell>
          <cell r="P1086" t="str">
            <v>W</v>
          </cell>
          <cell r="Q1086" t="str">
            <v>W</v>
          </cell>
          <cell r="R1086" t="str">
            <v>-</v>
          </cell>
        </row>
        <row r="1087">
          <cell r="A1087" t="str">
            <v>VO00990</v>
          </cell>
          <cell r="B1087" t="str">
            <v>-</v>
          </cell>
          <cell r="C1087">
            <v>990</v>
          </cell>
          <cell r="D1087" t="str">
            <v>99/99 R99</v>
          </cell>
          <cell r="E1087">
            <v>999</v>
          </cell>
          <cell r="F1087" t="str">
            <v>-</v>
          </cell>
          <cell r="G1087" t="str">
            <v>ETO1_Nr = 517731</v>
          </cell>
          <cell r="H1087" t="str">
            <v>VO00990</v>
          </cell>
          <cell r="I1087">
            <v>52990</v>
          </cell>
          <cell r="J1087">
            <v>39</v>
          </cell>
          <cell r="K1087" t="str">
            <v>P4</v>
          </cell>
          <cell r="L1087" t="str">
            <v>GGWWW</v>
          </cell>
          <cell r="M1087" t="str">
            <v>G</v>
          </cell>
          <cell r="N1087" t="str">
            <v>G</v>
          </cell>
          <cell r="O1087" t="str">
            <v>W</v>
          </cell>
          <cell r="P1087" t="str">
            <v>W</v>
          </cell>
          <cell r="Q1087" t="str">
            <v>W</v>
          </cell>
          <cell r="R1087" t="str">
            <v>-</v>
          </cell>
        </row>
        <row r="1088">
          <cell r="A1088" t="str">
            <v>VO00991</v>
          </cell>
          <cell r="B1088" t="str">
            <v>-</v>
          </cell>
          <cell r="C1088">
            <v>991</v>
          </cell>
          <cell r="D1088" t="str">
            <v>99/10 R99</v>
          </cell>
          <cell r="E1088">
            <v>10</v>
          </cell>
          <cell r="F1088" t="str">
            <v>-</v>
          </cell>
          <cell r="G1088">
            <v>0</v>
          </cell>
          <cell r="H1088" t="str">
            <v>VO00991</v>
          </cell>
          <cell r="I1088">
            <v>52991</v>
          </cell>
          <cell r="J1088">
            <v>0</v>
          </cell>
          <cell r="K1088" t="str">
            <v>-</v>
          </cell>
          <cell r="L1088" t="str">
            <v>W</v>
          </cell>
          <cell r="M1088" t="str">
            <v>W</v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>-</v>
          </cell>
        </row>
        <row r="1089">
          <cell r="A1089" t="str">
            <v>VO517538</v>
          </cell>
          <cell r="G1089" t="str">
            <v>ETO1_Exp = 2025-07-28 00:00</v>
          </cell>
          <cell r="H1089" t="str">
            <v>VO517538</v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</row>
        <row r="1090">
          <cell r="A1090" t="str">
            <v>VO517539</v>
          </cell>
          <cell r="G1090" t="str">
            <v>ETO1_Exp = 2025-07-28 10:00</v>
          </cell>
          <cell r="H1090" t="str">
            <v>VO517539</v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</row>
        <row r="1091">
          <cell r="A1091" t="str">
            <v>VO517540</v>
          </cell>
          <cell r="G1091" t="str">
            <v>ETO1_Exp = 2025-07-28 00:00</v>
          </cell>
          <cell r="H1091" t="str">
            <v>VO517540</v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</row>
        <row r="1092">
          <cell r="A1092" t="str">
            <v>VO517731</v>
          </cell>
          <cell r="G1092" t="str">
            <v>ETO1_Exp = 2025-08-25 03:00</v>
          </cell>
          <cell r="H1092" t="str">
            <v>VO517731</v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</row>
        <row r="1093">
          <cell r="A1093" t="str">
            <v>VO518207</v>
          </cell>
          <cell r="G1093" t="str">
            <v>ETO1_Exp = 2025-08-08 00:00</v>
          </cell>
          <cell r="H1093" t="str">
            <v>VO518207</v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</row>
        <row r="1094">
          <cell r="A1094" t="str">
            <v>VO518208</v>
          </cell>
          <cell r="G1094" t="str">
            <v>ETO1_Exp = 2025-08-08 00:00</v>
          </cell>
          <cell r="H1094" t="str">
            <v>VO518208</v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</row>
        <row r="1095">
          <cell r="A1095" t="str">
            <v>VO518210</v>
          </cell>
          <cell r="G1095" t="str">
            <v>ETO1_Exp = 2025-08-08 00:00</v>
          </cell>
          <cell r="H1095" t="str">
            <v>VO518210</v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</row>
        <row r="1096">
          <cell r="A1096" t="str">
            <v>VO518550</v>
          </cell>
          <cell r="G1096" t="str">
            <v>ETO1_Exp = 2025-07-28 00:00</v>
          </cell>
          <cell r="H1096" t="str">
            <v>VO518550</v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</row>
        <row r="1097">
          <cell r="A1097" t="str">
            <v>VO518815</v>
          </cell>
          <cell r="G1097" t="str">
            <v>ETO1_Exp = 2025-08-08 10:00</v>
          </cell>
          <cell r="H1097" t="str">
            <v>VO518815</v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</row>
        <row r="1098">
          <cell r="A1098" t="str">
            <v>VO519142</v>
          </cell>
          <cell r="G1098" t="str">
            <v>ETO1_Exp = 2025-07-31 00:00</v>
          </cell>
          <cell r="H1098" t="str">
            <v>VO519142</v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</row>
        <row r="1099">
          <cell r="A1099" t="str">
            <v>VO519143</v>
          </cell>
          <cell r="G1099" t="str">
            <v>ETO1_Exp = 2025-07-31 00:00</v>
          </cell>
          <cell r="H1099" t="str">
            <v>VO519143</v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</row>
        <row r="1100">
          <cell r="A1100" t="str">
            <v>VO519342</v>
          </cell>
          <cell r="G1100" t="str">
            <v>ETO1_Exp = 2025-08-16 00:00</v>
          </cell>
          <cell r="H1100" t="str">
            <v>VO519342</v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</row>
        <row r="1101">
          <cell r="A1101" t="str">
            <v>VO519356</v>
          </cell>
          <cell r="G1101" t="str">
            <v>ETO1_Exp = 2025-08-16 10:00</v>
          </cell>
          <cell r="H1101" t="str">
            <v>VO519356</v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</row>
        <row r="1102">
          <cell r="A1102" t="str">
            <v>VO519413</v>
          </cell>
          <cell r="G1102" t="str">
            <v>ETO1_Exp = 2025-08-01 00:00</v>
          </cell>
          <cell r="H1102" t="str">
            <v>VO519413</v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</row>
        <row r="1103">
          <cell r="A1103" t="str">
            <v>VO519414</v>
          </cell>
          <cell r="G1103" t="str">
            <v>ETO1_Exp = 2025-07-11 00:00</v>
          </cell>
          <cell r="H1103" t="str">
            <v>VO519414</v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</row>
        <row r="1104">
          <cell r="A1104" t="str">
            <v>VO519465</v>
          </cell>
          <cell r="G1104" t="str">
            <v>ETO1_Exp = 2025-08-08 10:00</v>
          </cell>
          <cell r="H1104" t="str">
            <v>VO519465</v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</row>
        <row r="1105">
          <cell r="A1105" t="str">
            <v>VO519466</v>
          </cell>
          <cell r="G1105" t="str">
            <v>ETO1_Exp = 2025-08-08 10:00</v>
          </cell>
          <cell r="H1105" t="str">
            <v>VO519466</v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</row>
        <row r="1106">
          <cell r="A1106" t="str">
            <v>VO519521</v>
          </cell>
          <cell r="G1106" t="str">
            <v>ETO1_Exp = 2025-08-14 00:00</v>
          </cell>
          <cell r="H1106" t="str">
            <v>VO519521</v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</row>
        <row r="1107">
          <cell r="A1107" t="str">
            <v>VO519522</v>
          </cell>
          <cell r="G1107" t="str">
            <v>ETO1_Exp = 2025-08-14 10:00</v>
          </cell>
          <cell r="H1107" t="str">
            <v>VO519522</v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</row>
        <row r="1108">
          <cell r="A1108" t="str">
            <v>VO519575</v>
          </cell>
          <cell r="G1108" t="str">
            <v>ETO1_Exp = 2025-07-30 10:00</v>
          </cell>
          <cell r="H1108" t="str">
            <v>VO519575</v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</row>
        <row r="1109">
          <cell r="A1109" t="str">
            <v>VO519812</v>
          </cell>
          <cell r="G1109" t="str">
            <v>ETO1_Exp = 2025-08-08 00:00</v>
          </cell>
          <cell r="H1109" t="str">
            <v>VO519812</v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</row>
        <row r="1110">
          <cell r="A1110" t="str">
            <v>VO519813</v>
          </cell>
          <cell r="G1110" t="str">
            <v>ETO1_Exp = 2025-08-08 00:00</v>
          </cell>
          <cell r="H1110" t="str">
            <v>VO519813</v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</row>
        <row r="1111">
          <cell r="A1111" t="str">
            <v>VO519814</v>
          </cell>
          <cell r="G1111" t="str">
            <v>ETO1_Exp = 2025-08-08 00:00</v>
          </cell>
          <cell r="H1111" t="str">
            <v>VO519814</v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</row>
        <row r="1112">
          <cell r="A1112" t="str">
            <v>VO519816</v>
          </cell>
          <cell r="G1112" t="str">
            <v>ETO1_Exp = 2025-08-08 10:00</v>
          </cell>
          <cell r="H1112" t="str">
            <v>VO519816</v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</row>
        <row r="1113">
          <cell r="A1113" t="str">
            <v>VO519817</v>
          </cell>
          <cell r="G1113" t="str">
            <v>ETO1_Exp = 2025-08-08 00:00</v>
          </cell>
          <cell r="H1113" t="str">
            <v>VO519817</v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</row>
        <row r="1114">
          <cell r="A1114" t="str">
            <v>VO520268</v>
          </cell>
          <cell r="G1114" t="str">
            <v>ETO1_Exp = 2025-08-23 10:00</v>
          </cell>
          <cell r="H1114" t="str">
            <v>VO520268</v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</row>
        <row r="1115"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</row>
        <row r="1116">
          <cell r="G1116" t="str">
            <v>ETO2_Nr = 507249</v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</row>
        <row r="1117">
          <cell r="G1117" t="str">
            <v>ETO2_Exp = 2024-09-13 00:00</v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</row>
        <row r="1118">
          <cell r="G1118" t="str">
            <v>ETO2_Nr = 507250</v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</row>
        <row r="1119">
          <cell r="G1119" t="str">
            <v>ETO2_Exp = 2024-09-13 00:00</v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</row>
        <row r="1120">
          <cell r="G1120" t="str">
            <v>ETO2_Nr = 507252</v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</row>
        <row r="1121">
          <cell r="G1121" t="str">
            <v>ETO2_Exp = 2024-09-13 00:00</v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</row>
        <row r="1122">
          <cell r="G1122" t="str">
            <v>ETO1_Exp = 2025-06-28 10:00</v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</row>
        <row r="1123">
          <cell r="G1123" t="str">
            <v>ETO2_Nr = 507254</v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</row>
        <row r="1124">
          <cell r="G1124" t="str">
            <v>ETO2_Exp = 2024-09-13 00:00</v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</row>
        <row r="1125">
          <cell r="G1125" t="str">
            <v>ETO1_Exp = 2025-06-28 10:00</v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</row>
        <row r="1126">
          <cell r="G1126" t="str">
            <v>ETO1_Exp = 2025-06-28 10:00</v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</row>
        <row r="1127">
          <cell r="G1127" t="str">
            <v>ETO1_Exp = 2025-06-28 00:00</v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</row>
        <row r="1128">
          <cell r="G1128" t="str">
            <v>ETO2_Nr = 507255</v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</row>
        <row r="1129">
          <cell r="G1129" t="str">
            <v>ETO2_Exp = 2024-09-13 00:00</v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</row>
        <row r="1130">
          <cell r="G1130" t="str">
            <v>ETO1_Exp = 2025-07-18 00:00</v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</row>
        <row r="1131">
          <cell r="G1131" t="str">
            <v>ETO2_Nr = 515832</v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</row>
        <row r="1132">
          <cell r="G1132" t="str">
            <v>ETO2_Exp = 2025-05-02 00:00</v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</row>
        <row r="1133">
          <cell r="G1133" t="str">
            <v>ETO1_Exp = 2025-07-18 00:00</v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</row>
        <row r="1134">
          <cell r="G1134" t="str">
            <v>ETO2_Nr = 515833</v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</row>
        <row r="1135">
          <cell r="G1135" t="str">
            <v>ETO2_Exp = 2025-05-02 00:00</v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</row>
        <row r="1136">
          <cell r="G1136" t="str">
            <v>ETO1_Exp = 2025-07-18 10:00</v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</row>
        <row r="1137">
          <cell r="G1137" t="str">
            <v>ETO1_Exp = 2025-07-18 00:00</v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</row>
        <row r="1138">
          <cell r="G1138" t="str">
            <v>ETO1_Exp = 2025-07-11 10:00</v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</row>
        <row r="1139">
          <cell r="G1139" t="str">
            <v>ETO1_Exp = 2025-07-18 10:00</v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</row>
        <row r="1140">
          <cell r="G1140" t="str">
            <v>ETO2_Nr = 515834</v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</row>
        <row r="1141">
          <cell r="G1141" t="str">
            <v>ETO2_Exp = 2025-05-02 00:00</v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</row>
        <row r="1142">
          <cell r="G1142" t="str">
            <v>ETO1_Exp = 2025-07-18 00:00</v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</row>
        <row r="1143">
          <cell r="G1143" t="str">
            <v>ETO2_Nr = 515297</v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</row>
        <row r="1144">
          <cell r="G1144" t="str">
            <v>ETO2_Exp = 2025-05-02 00:00</v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</row>
        <row r="1145">
          <cell r="G1145" t="str">
            <v>ETO1_Exp = 2025-07-18 10:00</v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</row>
        <row r="1146">
          <cell r="G1146" t="str">
            <v>ETO2_Nr = 513316</v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</row>
        <row r="1147">
          <cell r="G1147" t="str">
            <v>ETO2_Exp = 2025-03-27 00:00</v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</row>
        <row r="1148">
          <cell r="G1148" t="str">
            <v>ETO1_Exp = 2025-07-18 10:00</v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</row>
        <row r="1149">
          <cell r="G1149" t="str">
            <v>ETO2_Nr = 513317</v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</row>
        <row r="1150">
          <cell r="G1150" t="str">
            <v>ETO2_Exp = 2025-03-27 00:00</v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</row>
        <row r="1151">
          <cell r="G1151" t="str">
            <v>ETO2_Nr = 511923</v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</row>
        <row r="1152">
          <cell r="G1152" t="str">
            <v>ETO2_Exp = 2025-04-04 00:00</v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</row>
        <row r="1153">
          <cell r="G1153" t="str">
            <v>ETO2_Nr = 513596</v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</row>
        <row r="1154">
          <cell r="G1154" t="str">
            <v>ETO2_Exp = 2025-03-07 10:00</v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</row>
        <row r="1155">
          <cell r="G1155" t="str">
            <v>ETO2_Nr = 512597</v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</row>
        <row r="1156">
          <cell r="G1156" t="str">
            <v>ETO2_Exp = 2025-04-18 00:00</v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</row>
        <row r="1157">
          <cell r="G1157" t="str">
            <v>ETO2_Nr = 517060</v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</row>
        <row r="1158">
          <cell r="G1158" t="str">
            <v>ETO2_Exp = 2025-07-11 10:00</v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</row>
        <row r="1159">
          <cell r="G1159" t="str">
            <v>ETO2_Nr = 517061</v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</row>
        <row r="1160">
          <cell r="G1160" t="str">
            <v>ETO2_Exp = 2025-07-11 00:00</v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</row>
        <row r="1161">
          <cell r="G1161" t="str">
            <v>ETO1_Exp = 2025-07-11 00:00</v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</row>
        <row r="1162">
          <cell r="G1162" t="str">
            <v>ETO2_Nr = 514004</v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</row>
        <row r="1163">
          <cell r="G1163" t="str">
            <v>ETO2_Exp = 2025-04-04 00:00</v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</row>
        <row r="1164">
          <cell r="G1164" t="str">
            <v>ETO1_Exp = 2025-07-11 10:00</v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</row>
        <row r="1165">
          <cell r="G1165" t="str">
            <v>ETO2_Nr = 514005</v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</row>
        <row r="1166">
          <cell r="G1166" t="str">
            <v>ETO2_Exp = 2025-04-04 00:00</v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</row>
        <row r="1167">
          <cell r="G1167" t="str">
            <v>ETO1_Exp = 2025-07-11 10:00</v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</row>
        <row r="1168">
          <cell r="G1168" t="str">
            <v>ETO2_Nr = 501874</v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</row>
        <row r="1169">
          <cell r="G1169" t="str">
            <v>ETO2_Exp = 2024-08-02 00:00</v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</row>
        <row r="1170">
          <cell r="G1170" t="str">
            <v>ETO1_Exp = 2025-07-11 10:00</v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</row>
        <row r="1171">
          <cell r="G1171" t="str">
            <v>ETO2_Nr = 505454</v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</row>
        <row r="1172">
          <cell r="G1172" t="str">
            <v>ETO2_Exp = 2024-08-02 00:00</v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</row>
        <row r="1173">
          <cell r="G1173" t="str">
            <v>ETO2_Nr = 516469</v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</row>
        <row r="1174">
          <cell r="G1174" t="str">
            <v>ETO2_Exp = 2025-06-14 00:00</v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</row>
        <row r="1175">
          <cell r="G1175" t="str">
            <v>ETO2_Nr = 517264</v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</row>
        <row r="1176">
          <cell r="G1176" t="str">
            <v>ETO2_Exp = 2025-06-14 00:00</v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</row>
        <row r="1177">
          <cell r="G1177" t="str">
            <v>ETO2_Nr = 516051</v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</row>
        <row r="1178">
          <cell r="G1178" t="str">
            <v>ETO2_Exp = 2025-06-06 00:00</v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</row>
        <row r="1179">
          <cell r="G1179" t="str">
            <v>ETO2_Nr = 514024</v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</row>
        <row r="1180">
          <cell r="G1180" t="str">
            <v>ETO2_Exp = 2025-03-21 00:00</v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</row>
        <row r="1181">
          <cell r="G1181" t="str">
            <v>ETO2_Nr = 519414</v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</row>
        <row r="1182">
          <cell r="G1182" t="str">
            <v>ETO2_Exp = 2025-08-01 10:00</v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</row>
        <row r="1183">
          <cell r="G1183" t="str">
            <v>ETO2_Nr = 481291</v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</row>
        <row r="1184">
          <cell r="G1184" t="str">
            <v>ETO2_Exp = 2022-12-15 00:00</v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" connectionId="2" xr16:uid="{2C04F51B-D935-40E5-B650-22FF29983F0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" connectionId="1" xr16:uid="{D41E9BCE-B295-49D9-9A8D-92A0777FF37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4" connectionId="4" xr16:uid="{30C4EF2B-6328-4249-ABEF-18446EA5636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3" connectionId="3" xr16:uid="{ADC0E433-CE32-4AC0-BF01-24247FC6AFA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gtm15c02pc01/Grading/Edit?roleName=GRD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E8D8-D11B-4ACE-ACEC-8AAF6B4F2D0C}">
  <sheetPr codeName="Feuil1"/>
  <dimension ref="A1:Y45"/>
  <sheetViews>
    <sheetView tabSelected="1" zoomScale="73" zoomScaleNormal="100" workbookViewId="0">
      <selection activeCell="W42" sqref="W42"/>
    </sheetView>
  </sheetViews>
  <sheetFormatPr baseColWidth="10" defaultColWidth="11.44140625" defaultRowHeight="14.4" x14ac:dyDescent="0.3"/>
  <cols>
    <col min="1" max="1" width="14.33203125" customWidth="1"/>
    <col min="2" max="2" width="19.109375" bestFit="1" customWidth="1"/>
    <col min="3" max="3" width="16.33203125" style="4" bestFit="1" customWidth="1"/>
    <col min="4" max="4" width="34.6640625" customWidth="1"/>
    <col min="5" max="5" width="12.44140625" bestFit="1" customWidth="1"/>
    <col min="6" max="6" width="5.33203125" bestFit="1" customWidth="1"/>
    <col min="7" max="11" width="3.6640625" customWidth="1"/>
    <col min="12" max="12" width="16.109375" bestFit="1" customWidth="1"/>
    <col min="13" max="13" width="11.88671875" bestFit="1" customWidth="1"/>
    <col min="14" max="14" width="15.6640625" customWidth="1"/>
    <col min="15" max="15" width="14.6640625" customWidth="1"/>
    <col min="16" max="16" width="3.88671875" customWidth="1"/>
    <col min="19" max="19" width="16.88671875" customWidth="1"/>
    <col min="21" max="21" width="3" customWidth="1"/>
  </cols>
  <sheetData>
    <row r="1" spans="1:25" s="5" customFormat="1" ht="28.8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21</v>
      </c>
      <c r="F1" s="45" t="s">
        <v>4</v>
      </c>
      <c r="G1" s="45"/>
      <c r="H1" s="45"/>
      <c r="I1" s="45"/>
      <c r="J1" s="45"/>
      <c r="K1" s="45"/>
      <c r="L1" s="19" t="s">
        <v>5</v>
      </c>
      <c r="M1" s="19" t="s">
        <v>6</v>
      </c>
      <c r="N1" s="19" t="s">
        <v>7</v>
      </c>
      <c r="O1" s="19" t="s">
        <v>28</v>
      </c>
      <c r="P1" s="13"/>
    </row>
    <row r="2" spans="1:25" ht="15" x14ac:dyDescent="0.3">
      <c r="A2" s="8">
        <v>45638</v>
      </c>
      <c r="B2" s="9" t="s">
        <v>22</v>
      </c>
      <c r="C2" s="10">
        <v>313228</v>
      </c>
      <c r="D2" s="11" t="s">
        <v>33</v>
      </c>
      <c r="E2" s="10">
        <v>52986</v>
      </c>
      <c r="F2" s="11" t="s">
        <v>35</v>
      </c>
      <c r="G2" s="12" t="str">
        <f t="shared" ref="G2:G19" si="0">MID(F2,1,1)</f>
        <v>R</v>
      </c>
      <c r="H2" s="12" t="str">
        <f t="shared" ref="H2" si="1">MID(F2,2,1)</f>
        <v>R</v>
      </c>
      <c r="I2" s="12" t="str">
        <f t="shared" ref="I2" si="2">MID(F2,3,1)</f>
        <v>R</v>
      </c>
      <c r="J2" s="12" t="str">
        <f t="shared" ref="J2" si="3">MID(F2,4,1)</f>
        <v/>
      </c>
      <c r="K2" s="12" t="str">
        <f t="shared" ref="K2" si="4">MID(F2,5,1)</f>
        <v/>
      </c>
      <c r="L2" s="11" t="s">
        <v>24</v>
      </c>
      <c r="M2" s="28">
        <v>1</v>
      </c>
      <c r="N2" s="8">
        <v>45640</v>
      </c>
      <c r="O2" s="8">
        <v>45641</v>
      </c>
      <c r="P2" s="34"/>
    </row>
    <row r="3" spans="1:25" ht="15" x14ac:dyDescent="0.3">
      <c r="A3" s="14">
        <v>45639</v>
      </c>
      <c r="B3" s="15" t="s">
        <v>22</v>
      </c>
      <c r="C3" s="16">
        <v>313228</v>
      </c>
      <c r="D3" s="17" t="s">
        <v>34</v>
      </c>
      <c r="E3" s="16">
        <v>52986</v>
      </c>
      <c r="F3" s="18" t="s">
        <v>30</v>
      </c>
      <c r="G3" s="3" t="str">
        <f t="shared" ref="G3:G5" si="5">MID(F3,1,1)</f>
        <v>R</v>
      </c>
      <c r="H3" s="3" t="str">
        <f t="shared" ref="H3:H5" si="6">MID(F3,2,1)</f>
        <v>Y</v>
      </c>
      <c r="I3" s="3" t="str">
        <f t="shared" ref="I3:I5" si="7">MID(F3,3,1)</f>
        <v/>
      </c>
      <c r="J3" s="3" t="str">
        <f t="shared" ref="J3:J5" si="8">MID(F3,4,1)</f>
        <v/>
      </c>
      <c r="K3" s="3" t="str">
        <f t="shared" ref="K3:K5" si="9">MID(F3,5,1)</f>
        <v/>
      </c>
      <c r="L3" s="18" t="s">
        <v>24</v>
      </c>
      <c r="M3" s="29">
        <v>1</v>
      </c>
      <c r="N3" s="14">
        <v>45640</v>
      </c>
      <c r="O3" s="14">
        <v>45641</v>
      </c>
      <c r="P3" s="34"/>
      <c r="V3" t="s">
        <v>61</v>
      </c>
    </row>
    <row r="4" spans="1:25" ht="15" x14ac:dyDescent="0.3">
      <c r="A4" s="6">
        <v>45640</v>
      </c>
      <c r="B4" s="7" t="s">
        <v>22</v>
      </c>
      <c r="C4" s="2">
        <v>313228</v>
      </c>
      <c r="D4" s="1" t="str">
        <f>IF(C4="","",IFERROR(VLOOKUP(C4,[1]Feuil2!$A:$R,4,FALSE)&amp;" "&amp;VLOOKUP(C4,[1]Feuil2!$A:$R,5,FALSE)&amp;" "&amp;VLOOKUP(C4,[1]Feuil2!$A:$R,6,FALSE)&amp;" "&amp;VLOOKUP(C4,[1]Feuil2!$A:$R,7,FALSE),"Mauvais article ou pas dans MCBR"))</f>
        <v>205/55 R17 91 V ECOCONTACT 6 VW</v>
      </c>
      <c r="E4" s="2">
        <v>52986</v>
      </c>
      <c r="F4" s="1" t="s">
        <v>31</v>
      </c>
      <c r="G4" s="3" t="str">
        <f t="shared" si="5"/>
        <v>W</v>
      </c>
      <c r="H4" s="3" t="str">
        <f t="shared" si="6"/>
        <v>A</v>
      </c>
      <c r="I4" s="3" t="str">
        <f t="shared" si="7"/>
        <v/>
      </c>
      <c r="J4" s="3" t="str">
        <f t="shared" si="8"/>
        <v/>
      </c>
      <c r="K4" s="3" t="str">
        <f t="shared" si="9"/>
        <v/>
      </c>
      <c r="L4" s="1" t="s">
        <v>24</v>
      </c>
      <c r="M4" s="30">
        <v>1</v>
      </c>
      <c r="N4" s="6">
        <v>45640</v>
      </c>
      <c r="O4" s="6">
        <v>45641</v>
      </c>
      <c r="P4" s="34"/>
      <c r="Q4" t="s">
        <v>8</v>
      </c>
      <c r="R4" t="s">
        <v>9</v>
      </c>
      <c r="S4" t="s">
        <v>10</v>
      </c>
      <c r="V4" t="s">
        <v>62</v>
      </c>
    </row>
    <row r="5" spans="1:25" ht="15" x14ac:dyDescent="0.3">
      <c r="A5" s="14">
        <v>45641</v>
      </c>
      <c r="B5" s="15" t="s">
        <v>22</v>
      </c>
      <c r="C5" s="16">
        <v>313228</v>
      </c>
      <c r="D5" s="18" t="str">
        <f>IF(C5="","",IFERROR(VLOOKUP(C5,[1]Feuil2!$A:$R,4,FALSE)&amp;" "&amp;VLOOKUP(C5,[1]Feuil2!$A:$R,5,FALSE)&amp;" "&amp;VLOOKUP(C5,[1]Feuil2!$A:$R,6,FALSE)&amp;" "&amp;VLOOKUP(C5,[1]Feuil2!$A:$R,7,FALSE),"Mauvais article ou pas dans MCBR"))</f>
        <v>205/55 R17 91 V ECOCONTACT 6 VW</v>
      </c>
      <c r="E5" s="16">
        <v>52986</v>
      </c>
      <c r="F5" s="18" t="s">
        <v>32</v>
      </c>
      <c r="G5" s="3" t="str">
        <f t="shared" si="5"/>
        <v>A</v>
      </c>
      <c r="H5" s="3" t="str">
        <f t="shared" si="6"/>
        <v>A</v>
      </c>
      <c r="I5" s="3" t="str">
        <f t="shared" si="7"/>
        <v>A</v>
      </c>
      <c r="J5" s="3" t="str">
        <f t="shared" si="8"/>
        <v/>
      </c>
      <c r="K5" s="3" t="str">
        <f t="shared" si="9"/>
        <v/>
      </c>
      <c r="L5" s="18" t="s">
        <v>24</v>
      </c>
      <c r="M5" s="29">
        <v>1</v>
      </c>
      <c r="N5" s="14">
        <v>45640</v>
      </c>
      <c r="O5" s="14">
        <v>45641</v>
      </c>
      <c r="P5" s="34"/>
      <c r="Q5">
        <v>6</v>
      </c>
      <c r="R5">
        <v>5</v>
      </c>
      <c r="S5">
        <v>7</v>
      </c>
      <c r="V5" t="s">
        <v>63</v>
      </c>
      <c r="Y5" t="s">
        <v>11</v>
      </c>
    </row>
    <row r="6" spans="1:25" ht="15" x14ac:dyDescent="0.3">
      <c r="A6" s="6">
        <v>45672</v>
      </c>
      <c r="B6" s="7" t="s">
        <v>23</v>
      </c>
      <c r="C6" s="2">
        <v>312007</v>
      </c>
      <c r="D6" s="1" t="str">
        <f>IF(C6="","",IFERROR(VLOOKUP(C6,[1]Feuil2!$A:$R,4,FALSE)&amp;" "&amp;VLOOKUP(C6,[1]Feuil2!$A:$R,5,FALSE)&amp;" "&amp;VLOOKUP(C6,[1]Feuil2!$A:$R,6,FALSE)&amp;" "&amp;VLOOKUP(C6,[1]Feuil2!$A:$R,7,FALSE),"Mauvais article ou pas dans MCBR"))</f>
        <v>215/60 R17 96 H ECOCONTACT 6 Q PSA</v>
      </c>
      <c r="E6" s="2">
        <f>IFERROR(VLOOKUP(C6,[1]Feuil2!$A:$R,9,FALSE),"")</f>
        <v>52290</v>
      </c>
      <c r="F6" s="1" t="str">
        <f>IFERROR(VLOOKUP(C6,[1]Feuil2!$A:$R,12,FALSE),"")</f>
        <v>YA</v>
      </c>
      <c r="G6" s="3" t="str">
        <f>MID(F6,1,1)</f>
        <v>Y</v>
      </c>
      <c r="H6" s="3" t="str">
        <f>MID(F6,2,1)</f>
        <v>A</v>
      </c>
      <c r="I6" s="3" t="str">
        <f>MID(F6,3,1)</f>
        <v/>
      </c>
      <c r="J6" s="3" t="str">
        <f>MID(F6,4,1)</f>
        <v/>
      </c>
      <c r="K6" s="3" t="str">
        <f>MID(F6,5,1)</f>
        <v/>
      </c>
      <c r="L6" s="1" t="s">
        <v>25</v>
      </c>
      <c r="M6" s="1">
        <v>2</v>
      </c>
      <c r="N6" s="6">
        <v>45672</v>
      </c>
      <c r="O6" s="6">
        <v>45672</v>
      </c>
      <c r="P6" s="34"/>
      <c r="Q6">
        <v>8</v>
      </c>
      <c r="R6">
        <v>10</v>
      </c>
      <c r="S6">
        <v>8</v>
      </c>
    </row>
    <row r="7" spans="1:25" ht="15" x14ac:dyDescent="0.3">
      <c r="A7" s="14">
        <v>45735</v>
      </c>
      <c r="B7" s="15" t="s">
        <v>26</v>
      </c>
      <c r="C7" s="16">
        <v>315098</v>
      </c>
      <c r="D7" s="18" t="str">
        <f>IF(C7="","",IFERROR(VLOOKUP(C7,[1]Feuil2!$A:$R,4,FALSE)&amp;" "&amp;VLOOKUP(C7,[1]Feuil2!$A:$R,5,FALSE)&amp;" "&amp;VLOOKUP(C7,[1]Feuil2!$A:$R,6,FALSE)&amp;" "&amp;VLOOKUP(C7,[1]Feuil2!$A:$R,7,FALSE),"Mauvais article ou pas dans MCBR"))</f>
        <v>Mauvais article ou pas dans MCBR</v>
      </c>
      <c r="E7" s="16">
        <v>52986</v>
      </c>
      <c r="F7" s="18" t="s">
        <v>27</v>
      </c>
      <c r="G7" s="3" t="str">
        <f>MID(F7,1,1)</f>
        <v>A</v>
      </c>
      <c r="H7" s="3" t="str">
        <f>MID(F7,2,1)</f>
        <v/>
      </c>
      <c r="I7" s="3" t="str">
        <f>MID(F7,3,1)</f>
        <v/>
      </c>
      <c r="J7" s="3" t="str">
        <f>MID(F7,4,1)</f>
        <v/>
      </c>
      <c r="K7" s="3" t="str">
        <f>MID(F7,5,1)</f>
        <v/>
      </c>
      <c r="L7" s="18" t="s">
        <v>29</v>
      </c>
      <c r="M7" s="18">
        <v>3</v>
      </c>
      <c r="N7" s="14" t="s">
        <v>54</v>
      </c>
      <c r="O7" s="14">
        <v>45735</v>
      </c>
      <c r="P7" s="34"/>
      <c r="Q7">
        <v>16</v>
      </c>
      <c r="R7">
        <v>15</v>
      </c>
      <c r="S7">
        <v>9</v>
      </c>
    </row>
    <row r="8" spans="1:25" ht="15" x14ac:dyDescent="0.3">
      <c r="A8" s="1"/>
      <c r="B8" s="1"/>
      <c r="C8" s="2"/>
      <c r="D8" s="1" t="str">
        <f>IF(C8="","",IFERROR(VLOOKUP(C8,[1]Feuil2!$A:$R,4,FALSE)&amp;" "&amp;VLOOKUP(C8,[1]Feuil2!$A:$R,5,FALSE)&amp;" "&amp;VLOOKUP(C8,[1]Feuil2!$A:$R,6,FALSE)&amp;" "&amp;VLOOKUP(C8,[1]Feuil2!$A:$R,7,FALSE),"Mauvais article ou pas dans MCBR"))</f>
        <v/>
      </c>
      <c r="E8" s="2" t="str">
        <f>IFERROR(VLOOKUP(C8,[1]Feuil2!$A:$R,9,FALSE),"")</f>
        <v/>
      </c>
      <c r="F8" s="1" t="str">
        <f>IFERROR(VLOOKUP(C8,[1]Feuil2!$A:$R,12,FALSE),"")</f>
        <v/>
      </c>
      <c r="G8" s="3" t="str">
        <f t="shared" si="0"/>
        <v/>
      </c>
      <c r="H8" s="3" t="str">
        <f t="shared" ref="H8:H19" si="10">MID(F8,2,1)</f>
        <v/>
      </c>
      <c r="I8" s="3" t="str">
        <f t="shared" ref="I8:I19" si="11">MID(F8,3,1)</f>
        <v/>
      </c>
      <c r="J8" s="3" t="str">
        <f t="shared" ref="J8:J19" si="12">MID(F8,4,1)</f>
        <v/>
      </c>
      <c r="K8" s="3" t="str">
        <f t="shared" ref="K8:K19" si="13">MID(F8,5,1)</f>
        <v/>
      </c>
      <c r="L8" s="1"/>
      <c r="M8" s="1"/>
      <c r="N8" s="1"/>
      <c r="O8" s="1"/>
      <c r="P8" s="35"/>
      <c r="R8">
        <v>20</v>
      </c>
      <c r="S8">
        <v>10</v>
      </c>
      <c r="Y8" t="s">
        <v>56</v>
      </c>
    </row>
    <row r="9" spans="1:25" ht="15" x14ac:dyDescent="0.3">
      <c r="A9" s="1"/>
      <c r="B9" s="1"/>
      <c r="C9" s="2"/>
      <c r="D9" s="1"/>
      <c r="E9" s="2"/>
      <c r="F9" s="1"/>
      <c r="G9" s="3"/>
      <c r="H9" s="3"/>
      <c r="I9" s="3"/>
      <c r="J9" s="3"/>
      <c r="K9" s="3"/>
      <c r="L9" s="1"/>
      <c r="N9" s="1"/>
      <c r="O9" s="1"/>
      <c r="P9" s="32"/>
      <c r="Y9" t="s">
        <v>55</v>
      </c>
    </row>
    <row r="10" spans="1:25" ht="15" x14ac:dyDescent="0.3">
      <c r="A10" s="1"/>
      <c r="B10" s="1"/>
      <c r="C10" s="2"/>
      <c r="D10" s="1"/>
      <c r="E10" s="2"/>
      <c r="F10" s="1"/>
      <c r="G10" s="3"/>
      <c r="H10" s="3"/>
      <c r="I10" s="3"/>
      <c r="J10" s="3"/>
      <c r="K10" s="3"/>
      <c r="L10" s="1"/>
      <c r="M10" s="1"/>
      <c r="N10" s="1"/>
      <c r="O10" s="1"/>
      <c r="P10" s="32"/>
    </row>
    <row r="11" spans="1:25" ht="15" x14ac:dyDescent="0.3">
      <c r="A11" s="1"/>
      <c r="B11" s="1"/>
      <c r="C11" s="2"/>
      <c r="D11" s="1"/>
      <c r="E11" s="2"/>
      <c r="F11" s="1"/>
      <c r="G11" s="3"/>
      <c r="H11" s="3"/>
      <c r="I11" s="3"/>
      <c r="J11" s="3"/>
      <c r="K11" s="3"/>
      <c r="L11" s="1"/>
      <c r="M11" s="1"/>
      <c r="N11" s="1"/>
      <c r="O11" s="1"/>
      <c r="P11" s="32"/>
    </row>
    <row r="12" spans="1:25" ht="15" x14ac:dyDescent="0.3">
      <c r="A12" s="1"/>
      <c r="B12" s="1"/>
      <c r="C12" s="2"/>
      <c r="D12" s="1" t="str">
        <f>IF(C12="","",IFERROR(VLOOKUP(C12,[1]Feuil2!$A:$R,4,FALSE)&amp;" "&amp;VLOOKUP(C12,[1]Feuil2!$A:$R,5,FALSE)&amp;" "&amp;VLOOKUP(C12,[1]Feuil2!$A:$R,6,FALSE)&amp;" "&amp;VLOOKUP(C12,[1]Feuil2!$A:$R,7,FALSE),"Mauvais article ou pas dans MCBR"))</f>
        <v/>
      </c>
      <c r="E12" s="2" t="str">
        <f>IFERROR(VLOOKUP(C12,[1]Feuil2!$A:$R,9,FALSE),"")</f>
        <v/>
      </c>
      <c r="F12" s="1" t="str">
        <f>IFERROR(VLOOKUP(C12,[1]Feuil2!$A:$R,12,FALSE),"")</f>
        <v/>
      </c>
      <c r="G12" s="3" t="str">
        <f t="shared" si="0"/>
        <v/>
      </c>
      <c r="H12" s="3" t="str">
        <f t="shared" si="10"/>
        <v/>
      </c>
      <c r="I12" s="3" t="str">
        <f t="shared" si="11"/>
        <v/>
      </c>
      <c r="J12" s="3" t="str">
        <f t="shared" si="12"/>
        <v/>
      </c>
      <c r="K12" s="3" t="str">
        <f t="shared" si="13"/>
        <v/>
      </c>
      <c r="L12" s="1"/>
      <c r="M12" s="1"/>
      <c r="N12" s="1"/>
      <c r="O12" s="1"/>
      <c r="P12" s="32"/>
      <c r="R12">
        <v>34</v>
      </c>
      <c r="S12">
        <v>14</v>
      </c>
    </row>
    <row r="13" spans="1:25" ht="15" x14ac:dyDescent="0.3">
      <c r="A13" s="1"/>
      <c r="B13" s="1"/>
      <c r="C13" s="2"/>
      <c r="D13" s="1"/>
      <c r="E13" s="1"/>
      <c r="F13" s="1"/>
      <c r="G13" s="3"/>
      <c r="H13" s="3"/>
      <c r="I13" s="3"/>
      <c r="J13" s="3"/>
      <c r="K13" s="3"/>
      <c r="L13" s="1"/>
      <c r="M13" s="1"/>
      <c r="N13" s="1"/>
      <c r="O13" s="1"/>
      <c r="P13" s="32"/>
    </row>
    <row r="14" spans="1:25" ht="15" x14ac:dyDescent="0.3">
      <c r="A14" s="1"/>
      <c r="B14" s="1"/>
      <c r="C14" s="2"/>
      <c r="D14" s="1" t="str">
        <f>IF(C14="","",IFERROR(VLOOKUP(C14,[1]Feuil2!$A:$R,4,FALSE)&amp;" "&amp;VLOOKUP(C14,[1]Feuil2!$A:$R,5,FALSE)&amp;" "&amp;VLOOKUP(C14,[1]Feuil2!$A:$R,6,FALSE)&amp;" "&amp;VLOOKUP(C14,[1]Feuil2!$A:$R,7,FALSE),"Mauvais article ou pas dans MCBR"))</f>
        <v/>
      </c>
      <c r="E14" s="2" t="str">
        <f>IFERROR(VLOOKUP(C14,[1]Feuil2!$A:$R,9,FALSE),"")</f>
        <v/>
      </c>
      <c r="F14" s="1" t="str">
        <f>IFERROR(VLOOKUP(C14,[1]Feuil2!$A:$R,12,FALSE),"")</f>
        <v/>
      </c>
      <c r="G14" s="3" t="str">
        <f t="shared" si="0"/>
        <v/>
      </c>
      <c r="H14" s="3" t="str">
        <f t="shared" si="10"/>
        <v/>
      </c>
      <c r="I14" s="3" t="str">
        <f t="shared" si="11"/>
        <v/>
      </c>
      <c r="J14" s="3" t="str">
        <f t="shared" si="12"/>
        <v/>
      </c>
      <c r="K14" s="3" t="str">
        <f t="shared" si="13"/>
        <v/>
      </c>
      <c r="L14" s="1"/>
      <c r="M14" s="1"/>
      <c r="N14" s="1"/>
      <c r="O14" s="1"/>
      <c r="P14" s="32"/>
    </row>
    <row r="15" spans="1:25" ht="15" x14ac:dyDescent="0.3">
      <c r="A15" s="1"/>
      <c r="B15" s="1"/>
      <c r="C15" s="2"/>
      <c r="D15" s="1" t="str">
        <f>IF(C15="","",IFERROR(VLOOKUP(C15,[1]Feuil2!$A:$R,4,FALSE)&amp;" "&amp;VLOOKUP(C15,[1]Feuil2!$A:$R,5,FALSE)&amp;" "&amp;VLOOKUP(C15,[1]Feuil2!$A:$R,6,FALSE)&amp;" "&amp;VLOOKUP(C15,[1]Feuil2!$A:$R,7,FALSE),"Mauvais article ou pas dans MCBR"))</f>
        <v/>
      </c>
      <c r="E15" s="2" t="str">
        <f>IFERROR(VLOOKUP(C15,[1]Feuil2!$A:$R,9,FALSE),"")</f>
        <v/>
      </c>
      <c r="F15" s="1" t="str">
        <f>IFERROR(VLOOKUP(C15,[1]Feuil2!$A:$R,12,FALSE),"")</f>
        <v/>
      </c>
      <c r="G15" s="3" t="str">
        <f t="shared" si="0"/>
        <v/>
      </c>
      <c r="H15" s="3" t="str">
        <f t="shared" si="10"/>
        <v/>
      </c>
      <c r="I15" s="3" t="str">
        <f t="shared" si="11"/>
        <v/>
      </c>
      <c r="J15" s="3" t="str">
        <f t="shared" si="12"/>
        <v/>
      </c>
      <c r="K15" s="3" t="str">
        <f t="shared" si="13"/>
        <v/>
      </c>
      <c r="L15" s="1"/>
      <c r="M15" s="1"/>
      <c r="N15" s="1"/>
      <c r="O15" s="1"/>
      <c r="P15" s="32"/>
    </row>
    <row r="16" spans="1:25" ht="15" x14ac:dyDescent="0.3">
      <c r="A16" s="1"/>
      <c r="B16" s="1"/>
      <c r="C16" s="2"/>
      <c r="D16" s="1" t="str">
        <f>IF(C16="","",IFERROR(VLOOKUP(C16,[1]Feuil2!$A:$R,4,FALSE)&amp;" "&amp;VLOOKUP(C16,[1]Feuil2!$A:$R,5,FALSE)&amp;" "&amp;VLOOKUP(C16,[1]Feuil2!$A:$R,6,FALSE)&amp;" "&amp;VLOOKUP(C16,[1]Feuil2!$A:$R,7,FALSE),"Mauvais article ou pas dans MCBR"))</f>
        <v/>
      </c>
      <c r="E16" s="2" t="str">
        <f>IFERROR(VLOOKUP(C16,[1]Feuil2!$A:$R,9,FALSE),"")</f>
        <v/>
      </c>
      <c r="F16" s="1" t="str">
        <f>IFERROR(VLOOKUP(C16,[1]Feuil2!$A:$R,12,FALSE),"")</f>
        <v/>
      </c>
      <c r="G16" s="3" t="str">
        <f t="shared" si="0"/>
        <v/>
      </c>
      <c r="H16" s="3" t="str">
        <f t="shared" si="10"/>
        <v/>
      </c>
      <c r="I16" s="3" t="str">
        <f t="shared" si="11"/>
        <v/>
      </c>
      <c r="J16" s="3" t="str">
        <f t="shared" si="12"/>
        <v/>
      </c>
      <c r="K16" s="3" t="str">
        <f t="shared" si="13"/>
        <v/>
      </c>
      <c r="L16" s="1"/>
      <c r="M16" s="1"/>
      <c r="N16" s="1"/>
      <c r="O16" s="1"/>
      <c r="P16" s="32"/>
    </row>
    <row r="17" spans="1:20" ht="15" x14ac:dyDescent="0.3">
      <c r="A17" s="1"/>
      <c r="B17" s="1"/>
      <c r="C17" s="2"/>
      <c r="D17" s="1" t="str">
        <f>IF(C17="","",IFERROR(VLOOKUP(C17,[1]Feuil2!$A:$R,4,FALSE)&amp;" "&amp;VLOOKUP(C17,[1]Feuil2!$A:$R,5,FALSE)&amp;" "&amp;VLOOKUP(C17,[1]Feuil2!$A:$R,6,FALSE)&amp;" "&amp;VLOOKUP(C17,[1]Feuil2!$A:$R,7,FALSE),"Mauvais article ou pas dans MCBR"))</f>
        <v/>
      </c>
      <c r="E17" s="2" t="str">
        <f>IFERROR(VLOOKUP(C17,[1]Feuil2!$A:$R,9,FALSE),"")</f>
        <v/>
      </c>
      <c r="F17" s="1" t="str">
        <f>IFERROR(VLOOKUP(C17,[1]Feuil2!$A:$R,12,FALSE),"")</f>
        <v/>
      </c>
      <c r="G17" s="3" t="str">
        <f t="shared" si="0"/>
        <v/>
      </c>
      <c r="H17" s="3" t="str">
        <f t="shared" si="10"/>
        <v/>
      </c>
      <c r="I17" s="3" t="str">
        <f t="shared" si="11"/>
        <v/>
      </c>
      <c r="J17" s="3" t="str">
        <f t="shared" si="12"/>
        <v/>
      </c>
      <c r="K17" s="3" t="str">
        <f t="shared" si="13"/>
        <v/>
      </c>
      <c r="L17" s="1"/>
      <c r="M17" s="1"/>
      <c r="N17" s="1"/>
      <c r="O17" s="1"/>
      <c r="P17" s="32"/>
      <c r="Q17" s="46" t="s">
        <v>57</v>
      </c>
      <c r="R17" s="47"/>
      <c r="S17" s="48"/>
      <c r="T17" s="1" t="s">
        <v>10</v>
      </c>
    </row>
    <row r="18" spans="1:20" ht="15" x14ac:dyDescent="0.3">
      <c r="A18" s="1"/>
      <c r="B18" s="1"/>
      <c r="C18" s="2"/>
      <c r="D18" s="1" t="str">
        <f>IF(C18="","",IFERROR(VLOOKUP(C18,[1]Feuil2!$A:$R,4,FALSE)&amp;" "&amp;VLOOKUP(C18,[1]Feuil2!$A:$R,5,FALSE)&amp;" "&amp;VLOOKUP(C18,[1]Feuil2!$A:$R,6,FALSE)&amp;" "&amp;VLOOKUP(C18,[1]Feuil2!$A:$R,7,FALSE),"Mauvais article ou pas dans MCBR"))</f>
        <v/>
      </c>
      <c r="E18" s="2" t="str">
        <f>IFERROR(VLOOKUP(C18,[1]Feuil2!$A:$R,9,FALSE),"")</f>
        <v/>
      </c>
      <c r="F18" s="1" t="str">
        <f>IFERROR(VLOOKUP(C18,[1]Feuil2!$A:$R,12,FALSE),"")</f>
        <v/>
      </c>
      <c r="G18" s="3" t="str">
        <f t="shared" si="0"/>
        <v/>
      </c>
      <c r="H18" s="3" t="str">
        <f t="shared" si="10"/>
        <v/>
      </c>
      <c r="I18" s="3" t="str">
        <f t="shared" si="11"/>
        <v/>
      </c>
      <c r="J18" s="3" t="str">
        <f t="shared" si="12"/>
        <v/>
      </c>
      <c r="K18" s="3" t="str">
        <f t="shared" si="13"/>
        <v/>
      </c>
      <c r="L18" s="1"/>
      <c r="M18" s="1"/>
      <c r="N18" s="1"/>
      <c r="O18" s="1"/>
      <c r="P18" s="33"/>
      <c r="Q18" s="46"/>
      <c r="R18" s="47"/>
      <c r="S18" s="48"/>
      <c r="T18" s="31">
        <v>0.4513888888888889</v>
      </c>
    </row>
    <row r="19" spans="1:20" ht="15" x14ac:dyDescent="0.3">
      <c r="A19" s="1"/>
      <c r="B19" s="1"/>
      <c r="C19" s="2"/>
      <c r="D19" s="1" t="str">
        <f>IF(C19="","",IFERROR(VLOOKUP(C19,[1]Feuil2!$A:$R,4,FALSE)&amp;" "&amp;VLOOKUP(C19,[1]Feuil2!$A:$R,5,FALSE)&amp;" "&amp;VLOOKUP(C19,[1]Feuil2!$A:$R,6,FALSE)&amp;" "&amp;VLOOKUP(C19,[1]Feuil2!$A:$R,7,FALSE),"Mauvais article ou pas dans MCBR"))</f>
        <v/>
      </c>
      <c r="E19" s="2" t="str">
        <f>IFERROR(VLOOKUP(C19,[1]Feuil2!$A:$R,9,FALSE),"")</f>
        <v/>
      </c>
      <c r="F19" s="1" t="str">
        <f>IFERROR(VLOOKUP(C19,[1]Feuil2!$A:$R,12,FALSE),"")</f>
        <v/>
      </c>
      <c r="G19" s="3" t="str">
        <f t="shared" si="0"/>
        <v/>
      </c>
      <c r="H19" s="3" t="str">
        <f t="shared" si="10"/>
        <v/>
      </c>
      <c r="I19" s="3" t="str">
        <f t="shared" si="11"/>
        <v/>
      </c>
      <c r="J19" s="3" t="str">
        <f t="shared" si="12"/>
        <v/>
      </c>
      <c r="K19" s="3" t="str">
        <f t="shared" si="13"/>
        <v/>
      </c>
      <c r="L19" s="1"/>
      <c r="M19" s="1"/>
      <c r="N19" s="1"/>
      <c r="O19" s="1"/>
      <c r="P19" s="33"/>
      <c r="Q19" s="44"/>
      <c r="R19" s="44"/>
      <c r="S19" s="44"/>
      <c r="T19" s="31">
        <v>0.5625</v>
      </c>
    </row>
    <row r="20" spans="1:20" ht="15" x14ac:dyDescent="0.3">
      <c r="A20" s="1" t="s">
        <v>12</v>
      </c>
      <c r="B20" s="1" t="s">
        <v>13</v>
      </c>
      <c r="C20" s="2" t="s">
        <v>14</v>
      </c>
      <c r="D20" s="1" t="str">
        <f>IF(C20="","",IFERROR(VLOOKUP(C20,[1]Feuil2!$A:$R,4,FALSE)&amp;" "&amp;VLOOKUP(C20,[1]Feuil2!$A:$R,5,FALSE)&amp;" "&amp;VLOOKUP(C20,[1]Feuil2!$A:$R,6,FALSE)&amp;" "&amp;VLOOKUP(C20,[1]Feuil2!$A:$R,7,FALSE),"Mauvais article ou pas dans MCBR"))</f>
        <v>Mauvais article ou pas dans MCBR</v>
      </c>
      <c r="E20" s="2" t="s">
        <v>14</v>
      </c>
      <c r="F20" s="1" t="s">
        <v>14</v>
      </c>
      <c r="G20" s="3"/>
      <c r="H20" s="3"/>
      <c r="I20" s="3"/>
      <c r="J20" s="3"/>
      <c r="K20" s="3"/>
      <c r="L20" s="1"/>
      <c r="M20" s="1"/>
      <c r="N20" s="1"/>
      <c r="O20" s="1"/>
      <c r="P20" s="33"/>
      <c r="Q20" s="44"/>
      <c r="R20" s="44"/>
      <c r="S20" s="44"/>
      <c r="T20" s="1"/>
    </row>
    <row r="22" spans="1:20" x14ac:dyDescent="0.3">
      <c r="S22" t="s">
        <v>64</v>
      </c>
    </row>
    <row r="23" spans="1:20" x14ac:dyDescent="0.3">
      <c r="S23" t="s">
        <v>65</v>
      </c>
    </row>
    <row r="24" spans="1:20" x14ac:dyDescent="0.3">
      <c r="S24" t="s">
        <v>66</v>
      </c>
    </row>
    <row r="25" spans="1:20" x14ac:dyDescent="0.3">
      <c r="S25" t="s">
        <v>67</v>
      </c>
    </row>
    <row r="37" spans="3:18" x14ac:dyDescent="0.3">
      <c r="C37" s="4" t="s">
        <v>18</v>
      </c>
    </row>
    <row r="38" spans="3:18" x14ac:dyDescent="0.3">
      <c r="C38" s="4" t="s">
        <v>15</v>
      </c>
    </row>
    <row r="39" spans="3:18" x14ac:dyDescent="0.3">
      <c r="C39" s="4" t="s">
        <v>16</v>
      </c>
      <c r="D39" t="s">
        <v>51</v>
      </c>
      <c r="L39" t="s">
        <v>79</v>
      </c>
    </row>
    <row r="40" spans="3:18" x14ac:dyDescent="0.3">
      <c r="C40" s="4" t="s">
        <v>17</v>
      </c>
      <c r="L40" t="s">
        <v>76</v>
      </c>
    </row>
    <row r="41" spans="3:18" x14ac:dyDescent="0.3">
      <c r="C41" t="s">
        <v>20</v>
      </c>
      <c r="L41" t="s">
        <v>77</v>
      </c>
    </row>
    <row r="42" spans="3:18" x14ac:dyDescent="0.3">
      <c r="C42" t="s">
        <v>19</v>
      </c>
      <c r="L42" t="s">
        <v>78</v>
      </c>
      <c r="R42" t="s">
        <v>94</v>
      </c>
    </row>
    <row r="44" spans="3:18" x14ac:dyDescent="0.3">
      <c r="L44" t="s">
        <v>81</v>
      </c>
    </row>
    <row r="45" spans="3:18" x14ac:dyDescent="0.3">
      <c r="L45" t="s">
        <v>80</v>
      </c>
    </row>
  </sheetData>
  <mergeCells count="5">
    <mergeCell ref="Q20:S20"/>
    <mergeCell ref="F1:K1"/>
    <mergeCell ref="Q19:S19"/>
    <mergeCell ref="Q18:S18"/>
    <mergeCell ref="Q17:S17"/>
  </mergeCells>
  <phoneticPr fontId="3" type="noConversion"/>
  <conditionalFormatting sqref="G2:K20">
    <cfRule type="cellIs" dxfId="6" priority="1" operator="equal">
      <formula>"L"</formula>
    </cfRule>
    <cfRule type="cellIs" dxfId="5" priority="2" stopIfTrue="1" operator="equal">
      <formula>"r"</formula>
    </cfRule>
    <cfRule type="cellIs" dxfId="4" priority="3" stopIfTrue="1" operator="equal">
      <formula>"y"</formula>
    </cfRule>
    <cfRule type="cellIs" dxfId="3" priority="4" stopIfTrue="1" operator="equal">
      <formula>"w"</formula>
    </cfRule>
    <cfRule type="cellIs" dxfId="2" priority="5" stopIfTrue="1" operator="equal">
      <formula>"o"</formula>
    </cfRule>
    <cfRule type="cellIs" dxfId="1" priority="6" stopIfTrue="1" operator="equal">
      <formula>"g"</formula>
    </cfRule>
    <cfRule type="cellIs" dxfId="0" priority="7" stopIfTrue="1" operator="equal">
      <formula>"a"</formula>
    </cfRule>
  </conditionalFormatting>
  <pageMargins left="0.7" right="0.7" top="0.75" bottom="0.75" header="0.3" footer="0.3"/>
  <pageSetup orientation="portrait" verticalDpi="597" r:id="rId1"/>
  <headerFooter>
    <oddFooter>&amp;C_x000D_&amp;1#&amp;"Arial"&amp;8&amp;K000000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69AD-3AE9-4042-801C-7D88239037AE}">
  <sheetPr codeName="Feuil2"/>
  <dimension ref="B1:I40"/>
  <sheetViews>
    <sheetView zoomScale="78" zoomScaleNormal="130" workbookViewId="0">
      <selection activeCell="C38" sqref="C38"/>
    </sheetView>
  </sheetViews>
  <sheetFormatPr baseColWidth="10" defaultRowHeight="14.4" x14ac:dyDescent="0.3"/>
  <cols>
    <col min="2" max="2" width="37.6640625" bestFit="1" customWidth="1"/>
    <col min="3" max="3" width="24.33203125" customWidth="1"/>
    <col min="4" max="4" width="27.5546875" bestFit="1" customWidth="1"/>
  </cols>
  <sheetData>
    <row r="1" spans="2:8" ht="25.8" x14ac:dyDescent="0.5">
      <c r="B1" s="24" t="s">
        <v>47</v>
      </c>
    </row>
    <row r="4" spans="2:8" x14ac:dyDescent="0.3">
      <c r="B4" s="21" t="s">
        <v>38</v>
      </c>
      <c r="C4" s="25">
        <v>7496</v>
      </c>
      <c r="F4" t="s">
        <v>53</v>
      </c>
    </row>
    <row r="5" spans="2:8" ht="4.95" customHeight="1" x14ac:dyDescent="0.3">
      <c r="B5" s="22"/>
      <c r="C5" s="26"/>
      <c r="D5" s="20"/>
    </row>
    <row r="6" spans="2:8" x14ac:dyDescent="0.3">
      <c r="B6" s="21" t="s">
        <v>36</v>
      </c>
      <c r="C6" s="25" t="s">
        <v>43</v>
      </c>
      <c r="F6" t="s">
        <v>52</v>
      </c>
    </row>
    <row r="7" spans="2:8" ht="4.95" customHeight="1" x14ac:dyDescent="0.3">
      <c r="B7" s="22"/>
      <c r="C7" s="26"/>
      <c r="D7" s="20"/>
    </row>
    <row r="8" spans="2:8" x14ac:dyDescent="0.3">
      <c r="B8" s="21" t="s">
        <v>37</v>
      </c>
      <c r="C8" s="25" t="s">
        <v>44</v>
      </c>
      <c r="F8" t="s">
        <v>52</v>
      </c>
    </row>
    <row r="9" spans="2:8" ht="4.95" customHeight="1" x14ac:dyDescent="0.3">
      <c r="B9" s="22"/>
      <c r="C9" s="26"/>
      <c r="D9" s="20"/>
    </row>
    <row r="10" spans="2:8" x14ac:dyDescent="0.3">
      <c r="B10" s="21" t="s">
        <v>39</v>
      </c>
      <c r="C10" s="27">
        <v>45764</v>
      </c>
      <c r="F10" t="s">
        <v>52</v>
      </c>
    </row>
    <row r="11" spans="2:8" ht="4.95" customHeight="1" x14ac:dyDescent="0.3">
      <c r="B11" s="22"/>
      <c r="C11" s="26"/>
      <c r="D11" s="20"/>
    </row>
    <row r="12" spans="2:8" x14ac:dyDescent="0.3">
      <c r="B12" s="21" t="s">
        <v>2</v>
      </c>
      <c r="C12" s="25">
        <v>989454968</v>
      </c>
      <c r="F12" t="s">
        <v>53</v>
      </c>
    </row>
    <row r="13" spans="2:8" ht="4.95" customHeight="1" x14ac:dyDescent="0.3">
      <c r="B13" s="22"/>
      <c r="C13" s="26"/>
      <c r="D13" s="20"/>
    </row>
    <row r="14" spans="2:8" x14ac:dyDescent="0.3">
      <c r="B14" s="21" t="s">
        <v>3</v>
      </c>
      <c r="C14" s="41" t="s">
        <v>89</v>
      </c>
      <c r="F14" t="s">
        <v>52</v>
      </c>
      <c r="H14" s="38" t="s">
        <v>83</v>
      </c>
    </row>
    <row r="15" spans="2:8" ht="4.95" customHeight="1" x14ac:dyDescent="0.3">
      <c r="B15" s="22"/>
      <c r="C15" s="26"/>
      <c r="D15" s="20"/>
    </row>
    <row r="16" spans="2:8" x14ac:dyDescent="0.3">
      <c r="B16" s="21" t="s">
        <v>93</v>
      </c>
      <c r="C16" s="41">
        <v>123</v>
      </c>
      <c r="H16" s="38"/>
    </row>
    <row r="17" spans="2:9" ht="4.95" customHeight="1" x14ac:dyDescent="0.3">
      <c r="B17" s="20"/>
      <c r="C17" s="20"/>
      <c r="D17" s="20"/>
    </row>
    <row r="18" spans="2:9" x14ac:dyDescent="0.3">
      <c r="B18" s="21" t="s">
        <v>40</v>
      </c>
      <c r="F18" t="s">
        <v>53</v>
      </c>
    </row>
    <row r="19" spans="2:9" x14ac:dyDescent="0.3">
      <c r="C19" s="21" t="s">
        <v>45</v>
      </c>
    </row>
    <row r="20" spans="2:9" x14ac:dyDescent="0.3">
      <c r="B20" s="21" t="s">
        <v>41</v>
      </c>
      <c r="C20">
        <v>2</v>
      </c>
    </row>
    <row r="21" spans="2:9" x14ac:dyDescent="0.3">
      <c r="B21" s="21" t="s">
        <v>42</v>
      </c>
      <c r="C21">
        <v>1</v>
      </c>
    </row>
    <row r="22" spans="2:9" ht="4.95" customHeight="1" x14ac:dyDescent="0.3">
      <c r="B22" s="20"/>
      <c r="C22" s="20"/>
      <c r="D22" s="20"/>
    </row>
    <row r="23" spans="2:9" x14ac:dyDescent="0.3">
      <c r="B23" s="21" t="s">
        <v>46</v>
      </c>
      <c r="C23">
        <v>1</v>
      </c>
      <c r="F23" t="s">
        <v>53</v>
      </c>
    </row>
    <row r="25" spans="2:9" x14ac:dyDescent="0.3">
      <c r="B25" s="21" t="s">
        <v>48</v>
      </c>
      <c r="C25" s="49" t="s">
        <v>49</v>
      </c>
      <c r="D25" s="49"/>
      <c r="F25" t="s">
        <v>50</v>
      </c>
    </row>
    <row r="26" spans="2:9" ht="4.2" customHeight="1" x14ac:dyDescent="0.3">
      <c r="B26" s="20"/>
      <c r="C26" s="20"/>
      <c r="D26" s="20"/>
    </row>
    <row r="30" spans="2:9" x14ac:dyDescent="0.3">
      <c r="B30" s="40" t="s">
        <v>85</v>
      </c>
      <c r="C30" s="40">
        <v>1</v>
      </c>
      <c r="D30" s="38" t="s">
        <v>86</v>
      </c>
    </row>
    <row r="31" spans="2:9" x14ac:dyDescent="0.3">
      <c r="B31" s="40"/>
      <c r="C31" s="40">
        <v>2</v>
      </c>
      <c r="D31" s="38" t="s">
        <v>87</v>
      </c>
      <c r="I31" s="37" t="s">
        <v>82</v>
      </c>
    </row>
    <row r="32" spans="2:9" x14ac:dyDescent="0.3">
      <c r="B32" s="40"/>
      <c r="C32" s="40">
        <v>3</v>
      </c>
      <c r="D32" s="38" t="s">
        <v>88</v>
      </c>
      <c r="I32" s="39" t="s">
        <v>84</v>
      </c>
    </row>
    <row r="35" spans="2:3" x14ac:dyDescent="0.3">
      <c r="B35" s="21" t="s">
        <v>36</v>
      </c>
      <c r="C35" s="41" t="s">
        <v>43</v>
      </c>
    </row>
    <row r="36" spans="2:3" x14ac:dyDescent="0.3">
      <c r="B36" s="21" t="s">
        <v>39</v>
      </c>
      <c r="C36" s="42">
        <v>45764</v>
      </c>
    </row>
    <row r="37" spans="2:3" x14ac:dyDescent="0.3">
      <c r="C37" s="41" t="s">
        <v>89</v>
      </c>
    </row>
    <row r="38" spans="2:3" x14ac:dyDescent="0.3">
      <c r="B38" s="21" t="s">
        <v>90</v>
      </c>
      <c r="C38" s="43">
        <v>1365897896</v>
      </c>
    </row>
    <row r="39" spans="2:3" x14ac:dyDescent="0.3">
      <c r="B39" s="21" t="s">
        <v>91</v>
      </c>
      <c r="C39" t="s">
        <v>92</v>
      </c>
    </row>
    <row r="40" spans="2:3" x14ac:dyDescent="0.3">
      <c r="B40" s="21" t="s">
        <v>93</v>
      </c>
    </row>
  </sheetData>
  <mergeCells count="1">
    <mergeCell ref="C25:D25"/>
  </mergeCells>
  <hyperlinks>
    <hyperlink ref="I32" r:id="rId1" xr:uid="{865A5FC7-D8F0-4D7D-B465-A22FB194BAF6}"/>
  </hyperlinks>
  <pageMargins left="0.7" right="0.7" top="0.75" bottom="0.75" header="0.3" footer="0.3"/>
  <pageSetup orientation="portrait" verticalDpi="597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C6C4-0CF0-42EA-BD12-D03080526C0A}">
  <sheetPr codeName="Feuil3"/>
  <dimension ref="B5:C11"/>
  <sheetViews>
    <sheetView zoomScale="175" zoomScaleNormal="175" workbookViewId="0">
      <selection activeCell="B5" sqref="B5"/>
    </sheetView>
  </sheetViews>
  <sheetFormatPr baseColWidth="10" defaultRowHeight="14.4" x14ac:dyDescent="0.3"/>
  <cols>
    <col min="2" max="2" width="33.88671875" bestFit="1" customWidth="1"/>
  </cols>
  <sheetData>
    <row r="5" spans="2:3" x14ac:dyDescent="0.3">
      <c r="B5" t="s">
        <v>58</v>
      </c>
    </row>
    <row r="7" spans="2:3" x14ac:dyDescent="0.3">
      <c r="B7" t="s">
        <v>59</v>
      </c>
      <c r="C7">
        <v>12</v>
      </c>
    </row>
    <row r="8" spans="2:3" x14ac:dyDescent="0.3">
      <c r="B8" t="s">
        <v>60</v>
      </c>
      <c r="C8">
        <v>13</v>
      </c>
    </row>
    <row r="11" spans="2:3" x14ac:dyDescent="0.3">
      <c r="B1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5207-F712-4294-BB84-30791977800F}">
  <sheetPr codeName="Feuil4"/>
  <dimension ref="A1"/>
  <sheetViews>
    <sheetView workbookViewId="0">
      <selection sqref="A1:M24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1A85-31CA-4BDC-8897-8F3D18AF4262}">
  <sheetPr codeName="Feuil5"/>
  <dimension ref="A1:J1"/>
  <sheetViews>
    <sheetView zoomScale="160" zoomScaleNormal="160" workbookViewId="0">
      <selection activeCell="G2" sqref="G2:G13"/>
    </sheetView>
  </sheetViews>
  <sheetFormatPr baseColWidth="10" defaultRowHeight="14.4" x14ac:dyDescent="0.3"/>
  <cols>
    <col min="1" max="1" width="10" bestFit="1" customWidth="1"/>
  </cols>
  <sheetData>
    <row r="1" spans="1:10" ht="69.599999999999994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21</v>
      </c>
      <c r="F1" s="36" t="s">
        <v>69</v>
      </c>
      <c r="G1" s="36" t="s">
        <v>70</v>
      </c>
      <c r="H1" s="36" t="s">
        <v>6</v>
      </c>
      <c r="I1" s="36" t="s">
        <v>7</v>
      </c>
      <c r="J1" s="36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310E-A250-4DE1-A26F-F9328EC2234A}">
  <sheetPr codeName="Feuil6"/>
  <dimension ref="A1:E2"/>
  <sheetViews>
    <sheetView zoomScale="220" zoomScaleNormal="220" workbookViewId="0">
      <selection activeCell="D3" sqref="D3"/>
    </sheetView>
  </sheetViews>
  <sheetFormatPr baseColWidth="10" defaultRowHeight="14.4" x14ac:dyDescent="0.3"/>
  <cols>
    <col min="4" max="4" width="12" bestFit="1" customWidth="1"/>
  </cols>
  <sheetData>
    <row r="1" spans="1:5" x14ac:dyDescent="0.3">
      <c r="A1" t="s">
        <v>71</v>
      </c>
      <c r="B1" t="s">
        <v>75</v>
      </c>
      <c r="C1" t="s">
        <v>73</v>
      </c>
      <c r="D1" t="s">
        <v>72</v>
      </c>
      <c r="E1" t="s">
        <v>74</v>
      </c>
    </row>
    <row r="2" spans="1:5" x14ac:dyDescent="0.3">
      <c r="A2" s="23">
        <v>45728</v>
      </c>
      <c r="B2" s="23"/>
      <c r="C2">
        <v>1</v>
      </c>
      <c r="D2" t="s">
        <v>61</v>
      </c>
      <c r="E2">
        <v>380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Page de présentation des FAB</vt:lpstr>
      <vt:lpstr>Page d'entrée des données</vt:lpstr>
      <vt:lpstr>Page de paramétrage </vt:lpstr>
      <vt:lpstr>Page d'explication du fct </vt:lpstr>
      <vt:lpstr>Base de données ordre de fabr</vt:lpstr>
      <vt:lpstr>Base de données </vt:lpstr>
      <vt:lpstr>'Page de présentation des FAB'!_1</vt:lpstr>
      <vt:lpstr>'Page de présentation des FAB'!_2</vt:lpstr>
      <vt:lpstr>'Page de présentation des FAB'!_3</vt:lpstr>
      <vt:lpstr>'Page de présentation des FAB'!_4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KANNENGIESSER, MAXIME</dc:creator>
  <cp:keywords/>
  <dc:description/>
  <cp:lastModifiedBy>KANNENGIESSER, MAXIME</cp:lastModifiedBy>
  <cp:revision/>
  <cp:lastPrinted>2025-07-10T08:24:25Z</cp:lastPrinted>
  <dcterms:created xsi:type="dcterms:W3CDTF">2025-03-07T09:26:26Z</dcterms:created>
  <dcterms:modified xsi:type="dcterms:W3CDTF">2025-07-25T13:09:48Z</dcterms:modified>
  <cp:category/>
  <cp:contentStatus/>
</cp:coreProperties>
</file>